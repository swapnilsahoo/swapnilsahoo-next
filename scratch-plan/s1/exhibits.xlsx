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3"/>
  <workbookPr autoCompressPictures="0"/>
  <mc:AlternateContent xmlns:mc="http://schemas.openxmlformats.org/markup-compatibility/2006">
    <mc:Choice Requires="x15">
      <x15ac:absPath xmlns:x15ac="http://schemas.microsoft.com/office/spreadsheetml/2010/11/ac" url="/Users/Reavis/OneDrive - Massachusetts Institute of Technology/Website Cases and IC Cases/Clean Cases and TNs/"/>
    </mc:Choice>
  </mc:AlternateContent>
  <xr:revisionPtr revIDLastSave="0" documentId="13_ncr:1_{E63EA9E4-C850-A040-BC8B-598FC20166E9}" xr6:coauthVersionLast="47" xr6:coauthVersionMax="47" xr10:uidLastSave="{00000000-0000-0000-0000-000000000000}"/>
  <bookViews>
    <workbookView xWindow="28800" yWindow="100" windowWidth="38400" windowHeight="19540" tabRatio="500" xr2:uid="{00000000-000D-0000-FFFF-FFFF00000000}"/>
  </bookViews>
  <sheets>
    <sheet name="Competitors" sheetId="18" r:id="rId1"/>
    <sheet name="Luxury Cars" sheetId="20" r:id="rId2"/>
    <sheet name="Suppliers" sheetId="19" r:id="rId3"/>
    <sheet name="Tesla Financial" sheetId="1" r:id="rId4"/>
  </sheet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70" i="1" l="1"/>
  <c r="E70" i="1"/>
  <c r="F70" i="1"/>
  <c r="G70" i="1"/>
  <c r="H70" i="1"/>
  <c r="I70" i="1"/>
  <c r="J70" i="1"/>
  <c r="K70" i="1"/>
  <c r="L70" i="1"/>
  <c r="M70" i="1"/>
  <c r="N70" i="1"/>
  <c r="O70" i="1"/>
  <c r="P70" i="1"/>
  <c r="Q70" i="1"/>
  <c r="R70" i="1"/>
  <c r="S70" i="1"/>
  <c r="T70" i="1"/>
  <c r="U70" i="1"/>
  <c r="V70" i="1"/>
  <c r="W70" i="1"/>
  <c r="X70" i="1"/>
  <c r="Y70" i="1"/>
  <c r="AF70" i="1"/>
  <c r="D71" i="1"/>
  <c r="D72" i="1" s="1"/>
  <c r="E71" i="1"/>
  <c r="F71" i="1"/>
  <c r="G71" i="1"/>
  <c r="G72" i="1" s="1"/>
  <c r="H71" i="1"/>
  <c r="I71" i="1"/>
  <c r="I72" i="1" s="1"/>
  <c r="J71" i="1"/>
  <c r="J72" i="1" s="1"/>
  <c r="K71" i="1"/>
  <c r="K72" i="1" s="1"/>
  <c r="L71" i="1"/>
  <c r="M71" i="1"/>
  <c r="N71" i="1"/>
  <c r="O71" i="1"/>
  <c r="P71" i="1"/>
  <c r="Q71" i="1"/>
  <c r="R71" i="1"/>
  <c r="S71" i="1"/>
  <c r="T71" i="1"/>
  <c r="T72" i="1" s="1"/>
  <c r="U71" i="1"/>
  <c r="V71" i="1"/>
  <c r="V72" i="1" s="1"/>
  <c r="W71" i="1"/>
  <c r="W72" i="1" s="1"/>
  <c r="X71" i="1"/>
  <c r="X72" i="1" s="1"/>
  <c r="Y71" i="1"/>
  <c r="Y72" i="1" s="1"/>
  <c r="AA71" i="1"/>
  <c r="AB71" i="1"/>
  <c r="AC71" i="1"/>
  <c r="AD71" i="1"/>
  <c r="AE71" i="1"/>
  <c r="AF71" i="1"/>
  <c r="AG71" i="1"/>
  <c r="AH71" i="1"/>
  <c r="AI71" i="1"/>
  <c r="AJ71" i="1"/>
  <c r="D73" i="1"/>
  <c r="E73" i="1"/>
  <c r="F73" i="1"/>
  <c r="G73" i="1"/>
  <c r="H73" i="1"/>
  <c r="I73" i="1"/>
  <c r="J73" i="1"/>
  <c r="K73" i="1"/>
  <c r="L73" i="1"/>
  <c r="M73" i="1"/>
  <c r="N73" i="1"/>
  <c r="O73" i="1"/>
  <c r="P73" i="1"/>
  <c r="Q73" i="1"/>
  <c r="R73" i="1"/>
  <c r="S73" i="1"/>
  <c r="T73" i="1"/>
  <c r="U73" i="1"/>
  <c r="V73" i="1"/>
  <c r="W73" i="1"/>
  <c r="X73" i="1"/>
  <c r="Y73" i="1"/>
  <c r="AA73" i="1"/>
  <c r="AD73" i="1"/>
  <c r="AE73" i="1"/>
  <c r="AF73" i="1"/>
  <c r="AG73" i="1"/>
  <c r="AH73" i="1"/>
  <c r="AI73" i="1"/>
  <c r="AJ73" i="1"/>
  <c r="C74" i="1"/>
  <c r="C73" i="1"/>
  <c r="C71" i="1"/>
  <c r="C70" i="1"/>
  <c r="B71" i="1"/>
  <c r="B70" i="1"/>
  <c r="S72" i="1" l="1"/>
  <c r="N72" i="1"/>
  <c r="L72" i="1"/>
  <c r="O72" i="1"/>
  <c r="Q72" i="1"/>
  <c r="F72" i="1"/>
  <c r="H72" i="1"/>
  <c r="P72" i="1"/>
  <c r="C72" i="1"/>
  <c r="C75" i="1" s="1"/>
  <c r="R72" i="1"/>
  <c r="M72" i="1"/>
  <c r="AF72" i="1"/>
  <c r="U72" i="1"/>
  <c r="E72" i="1"/>
  <c r="D23" i="18"/>
  <c r="E23" i="18"/>
  <c r="F23" i="18"/>
  <c r="G23" i="18"/>
  <c r="H23" i="18"/>
  <c r="I23" i="18"/>
  <c r="J23" i="18"/>
  <c r="K23" i="18"/>
  <c r="L23" i="18"/>
  <c r="C23" i="18"/>
  <c r="B23" i="18"/>
  <c r="D22" i="18"/>
  <c r="E22" i="18"/>
  <c r="F22" i="18"/>
  <c r="G22" i="18"/>
  <c r="H22" i="18"/>
  <c r="I22" i="18"/>
  <c r="J22" i="18"/>
  <c r="K22" i="18"/>
  <c r="L22" i="18"/>
  <c r="C22" i="18"/>
  <c r="B22" i="18"/>
  <c r="C24" i="18"/>
  <c r="D24" i="18"/>
  <c r="E24" i="18"/>
  <c r="F24" i="18"/>
  <c r="G24" i="18"/>
  <c r="H24" i="18"/>
  <c r="I24" i="18"/>
  <c r="J24" i="18"/>
  <c r="K24" i="18"/>
  <c r="L24" i="18"/>
  <c r="B24" i="18"/>
  <c r="D29" i="1" l="1"/>
  <c r="E29" i="1"/>
  <c r="F29" i="1"/>
  <c r="G29" i="1"/>
  <c r="H29" i="1"/>
  <c r="I29" i="1"/>
  <c r="J29" i="1"/>
  <c r="K29" i="1"/>
  <c r="L29" i="1"/>
  <c r="M29" i="1"/>
  <c r="N29" i="1"/>
  <c r="O29" i="1"/>
  <c r="P29" i="1"/>
  <c r="Q29" i="1"/>
  <c r="R29" i="1"/>
  <c r="S29" i="1"/>
  <c r="T29" i="1"/>
  <c r="U29" i="1"/>
  <c r="V29" i="1"/>
  <c r="W29" i="1"/>
  <c r="X29" i="1"/>
  <c r="Y29" i="1"/>
  <c r="AF29" i="1"/>
  <c r="C29" i="1"/>
  <c r="AG24" i="1"/>
  <c r="AG59" i="1"/>
  <c r="AG49" i="1"/>
  <c r="AH49" i="1"/>
  <c r="AI49" i="1"/>
  <c r="AJ49" i="1"/>
  <c r="AG50" i="1"/>
  <c r="AH50" i="1"/>
  <c r="AI50" i="1"/>
  <c r="AJ50" i="1"/>
  <c r="AG51" i="1"/>
  <c r="AH51" i="1"/>
  <c r="AI51" i="1"/>
  <c r="AJ51" i="1"/>
  <c r="AG52" i="1"/>
  <c r="AH52" i="1"/>
  <c r="AI52" i="1"/>
  <c r="AJ52" i="1"/>
  <c r="AH24" i="1"/>
  <c r="AH60" i="1"/>
  <c r="AH59" i="1"/>
  <c r="AB59" i="1"/>
  <c r="Z59" i="1"/>
  <c r="AA59" i="1"/>
  <c r="J57" i="1"/>
  <c r="K57" i="1"/>
  <c r="L57" i="1"/>
  <c r="M57" i="1"/>
  <c r="N57" i="1"/>
  <c r="O57" i="1"/>
  <c r="P57" i="1"/>
  <c r="Q57" i="1"/>
  <c r="R57" i="1"/>
  <c r="S57" i="1"/>
  <c r="T57" i="1"/>
  <c r="U57" i="1"/>
  <c r="V57" i="1"/>
  <c r="X57" i="1"/>
  <c r="Y57" i="1"/>
  <c r="Z57" i="1"/>
  <c r="AA57" i="1"/>
  <c r="AB57" i="1"/>
  <c r="AC57" i="1"/>
  <c r="AC59" i="1" s="1"/>
  <c r="AD57" i="1"/>
  <c r="AD59" i="1" s="1"/>
  <c r="AE57" i="1"/>
  <c r="AE59" i="1" s="1"/>
  <c r="AF57" i="1"/>
  <c r="AF59" i="1" s="1"/>
  <c r="I57" i="1"/>
  <c r="AJ60" i="1"/>
  <c r="AI60" i="1"/>
  <c r="AJ59" i="1"/>
  <c r="AI59" i="1"/>
  <c r="AJ24" i="1"/>
  <c r="AI24" i="1"/>
  <c r="AJ16" i="1"/>
  <c r="AJ22" i="1" s="1"/>
  <c r="AJ70" i="1" s="1"/>
  <c r="AJ72" i="1" s="1"/>
  <c r="AI16" i="1"/>
  <c r="AI22" i="1" s="1"/>
  <c r="AI70" i="1" s="1"/>
  <c r="AH16" i="1"/>
  <c r="AH22" i="1" s="1"/>
  <c r="AH70" i="1" s="1"/>
  <c r="AG16" i="1"/>
  <c r="AG22" i="1" s="1"/>
  <c r="AJ13" i="1"/>
  <c r="AI13" i="1"/>
  <c r="AH13" i="1"/>
  <c r="AG13" i="1"/>
  <c r="AJ8" i="1"/>
  <c r="AI8" i="1"/>
  <c r="AH8" i="1"/>
  <c r="AG8" i="1"/>
  <c r="AI74" i="1" l="1"/>
  <c r="AG74" i="1"/>
  <c r="AH74" i="1"/>
  <c r="AH72" i="1"/>
  <c r="AI72" i="1"/>
  <c r="AI75" i="1" s="1"/>
  <c r="AG29" i="1"/>
  <c r="AG70" i="1"/>
  <c r="AJ74" i="1"/>
  <c r="AJ75" i="1" s="1"/>
  <c r="AI26" i="1"/>
  <c r="AJ29" i="1"/>
  <c r="AI29" i="1"/>
  <c r="AH29" i="1"/>
  <c r="AJ26" i="1"/>
  <c r="AH26" i="1"/>
  <c r="H9" i="19"/>
  <c r="AF49" i="1"/>
  <c r="AF50" i="1"/>
  <c r="AF51" i="1"/>
  <c r="AF52" i="1"/>
  <c r="AA52" i="1"/>
  <c r="AB52" i="1"/>
  <c r="AC52" i="1"/>
  <c r="AD52" i="1"/>
  <c r="AE52" i="1"/>
  <c r="Y13" i="1"/>
  <c r="Z13" i="1"/>
  <c r="AA8" i="1"/>
  <c r="AB8" i="1"/>
  <c r="AA13" i="1"/>
  <c r="AB13" i="1"/>
  <c r="AC13" i="1"/>
  <c r="AF13" i="1"/>
  <c r="Z8" i="1"/>
  <c r="AC8" i="1"/>
  <c r="AF8" i="1"/>
  <c r="AE51" i="1"/>
  <c r="AD51" i="1"/>
  <c r="AE50" i="1"/>
  <c r="AD50" i="1"/>
  <c r="AE49" i="1"/>
  <c r="AD49" i="1"/>
  <c r="AD74" i="1" s="1"/>
  <c r="AE24" i="1"/>
  <c r="AD24" i="1"/>
  <c r="AE20" i="1"/>
  <c r="AD20" i="1"/>
  <c r="AE16" i="1"/>
  <c r="AD16" i="1"/>
  <c r="AE13" i="1"/>
  <c r="AD13" i="1"/>
  <c r="AE8" i="1"/>
  <c r="AD8" i="1"/>
  <c r="O79" i="1"/>
  <c r="AC38" i="1"/>
  <c r="AC24" i="1"/>
  <c r="AC20" i="1"/>
  <c r="AB49" i="1"/>
  <c r="AC49" i="1"/>
  <c r="AB50" i="1"/>
  <c r="AC50" i="1"/>
  <c r="AB51" i="1"/>
  <c r="AC51" i="1"/>
  <c r="AB48" i="1"/>
  <c r="AB73" i="1" s="1"/>
  <c r="AB24" i="1"/>
  <c r="AB20" i="1"/>
  <c r="Z16" i="1"/>
  <c r="Z20" i="1"/>
  <c r="AB16" i="1"/>
  <c r="AA49" i="1"/>
  <c r="AA50" i="1"/>
  <c r="AA51" i="1"/>
  <c r="AA24" i="1"/>
  <c r="AA20" i="1"/>
  <c r="Z48" i="1"/>
  <c r="Z73" i="1" s="1"/>
  <c r="Z52" i="1"/>
  <c r="Z51" i="1"/>
  <c r="Z50" i="1"/>
  <c r="Z49" i="1"/>
  <c r="Z47" i="1"/>
  <c r="Z71" i="1" s="1"/>
  <c r="D52" i="1"/>
  <c r="E52" i="1"/>
  <c r="F52" i="1"/>
  <c r="G52" i="1"/>
  <c r="H52" i="1"/>
  <c r="I52" i="1"/>
  <c r="J52" i="1"/>
  <c r="K52" i="1"/>
  <c r="L52" i="1"/>
  <c r="M52" i="1"/>
  <c r="N52" i="1"/>
  <c r="O52" i="1"/>
  <c r="P52" i="1"/>
  <c r="Q52" i="1"/>
  <c r="R52" i="1"/>
  <c r="S52" i="1"/>
  <c r="T52" i="1"/>
  <c r="U52" i="1"/>
  <c r="V52" i="1"/>
  <c r="W52" i="1"/>
  <c r="X52" i="1"/>
  <c r="Y52" i="1"/>
  <c r="D51" i="1"/>
  <c r="E51" i="1"/>
  <c r="F51" i="1"/>
  <c r="G51" i="1"/>
  <c r="H51" i="1"/>
  <c r="I51" i="1"/>
  <c r="J51" i="1"/>
  <c r="K51" i="1"/>
  <c r="L51" i="1"/>
  <c r="M51" i="1"/>
  <c r="N51" i="1"/>
  <c r="O51" i="1"/>
  <c r="P51" i="1"/>
  <c r="Q51" i="1"/>
  <c r="R51" i="1"/>
  <c r="S51" i="1"/>
  <c r="T51" i="1"/>
  <c r="U51" i="1"/>
  <c r="V51" i="1"/>
  <c r="W51" i="1"/>
  <c r="X51" i="1"/>
  <c r="Y51" i="1"/>
  <c r="D50" i="1"/>
  <c r="E50" i="1"/>
  <c r="F50" i="1"/>
  <c r="G50" i="1"/>
  <c r="H50" i="1"/>
  <c r="I50" i="1"/>
  <c r="J50" i="1"/>
  <c r="K50" i="1"/>
  <c r="L50" i="1"/>
  <c r="M50" i="1"/>
  <c r="N50" i="1"/>
  <c r="O50" i="1"/>
  <c r="P50" i="1"/>
  <c r="Q50" i="1"/>
  <c r="R50" i="1"/>
  <c r="S50" i="1"/>
  <c r="T50" i="1"/>
  <c r="U50" i="1"/>
  <c r="V50" i="1"/>
  <c r="W50" i="1"/>
  <c r="X50" i="1"/>
  <c r="Y50" i="1"/>
  <c r="D49" i="1"/>
  <c r="E49" i="1"/>
  <c r="F49" i="1"/>
  <c r="G49" i="1"/>
  <c r="H49" i="1"/>
  <c r="I49" i="1"/>
  <c r="J49" i="1"/>
  <c r="K49" i="1"/>
  <c r="L49" i="1"/>
  <c r="M49" i="1"/>
  <c r="N49" i="1"/>
  <c r="O49" i="1"/>
  <c r="P49" i="1"/>
  <c r="Q49" i="1"/>
  <c r="R49" i="1"/>
  <c r="R74" i="1" s="1"/>
  <c r="R75" i="1" s="1"/>
  <c r="S49" i="1"/>
  <c r="T49" i="1"/>
  <c r="U49" i="1"/>
  <c r="V49" i="1"/>
  <c r="W49" i="1"/>
  <c r="X49" i="1"/>
  <c r="Y49" i="1"/>
  <c r="AA16" i="1"/>
  <c r="AC16" i="1"/>
  <c r="Q74" i="1" l="1"/>
  <c r="Q75" i="1" s="1"/>
  <c r="Z74" i="1"/>
  <c r="P74" i="1"/>
  <c r="P75" i="1" s="1"/>
  <c r="AH75" i="1"/>
  <c r="S74" i="1"/>
  <c r="S75" i="1" s="1"/>
  <c r="AF74" i="1"/>
  <c r="AF75" i="1" s="1"/>
  <c r="M74" i="1"/>
  <c r="M75" i="1" s="1"/>
  <c r="AB74" i="1"/>
  <c r="N74" i="1"/>
  <c r="N75" i="1" s="1"/>
  <c r="W74" i="1"/>
  <c r="W75" i="1" s="1"/>
  <c r="H74" i="1"/>
  <c r="H75" i="1" s="1"/>
  <c r="AA74" i="1"/>
  <c r="L74" i="1"/>
  <c r="L75" i="1" s="1"/>
  <c r="I74" i="1"/>
  <c r="I75" i="1" s="1"/>
  <c r="X74" i="1"/>
  <c r="X75" i="1" s="1"/>
  <c r="G74" i="1"/>
  <c r="G75" i="1" s="1"/>
  <c r="V74" i="1"/>
  <c r="V75" i="1" s="1"/>
  <c r="E74" i="1"/>
  <c r="E75" i="1" s="1"/>
  <c r="O74" i="1"/>
  <c r="O75" i="1" s="1"/>
  <c r="AC74" i="1"/>
  <c r="K74" i="1"/>
  <c r="K75" i="1" s="1"/>
  <c r="AE74" i="1"/>
  <c r="J74" i="1"/>
  <c r="J75" i="1" s="1"/>
  <c r="Y74" i="1"/>
  <c r="Y75" i="1" s="1"/>
  <c r="AG72" i="1"/>
  <c r="AG75" i="1" s="1"/>
  <c r="F74" i="1"/>
  <c r="F75" i="1" s="1"/>
  <c r="U74" i="1"/>
  <c r="U75" i="1" s="1"/>
  <c r="T74" i="1"/>
  <c r="T75" i="1" s="1"/>
  <c r="D74" i="1"/>
  <c r="D75" i="1" s="1"/>
  <c r="AC22" i="1"/>
  <c r="AE22" i="1"/>
  <c r="AE70" i="1" s="1"/>
  <c r="Z22" i="1"/>
  <c r="Z70" i="1" s="1"/>
  <c r="AC48" i="1"/>
  <c r="AC73" i="1" s="1"/>
  <c r="AA22" i="1"/>
  <c r="AA70" i="1" s="1"/>
  <c r="AA72" i="1" s="1"/>
  <c r="AB22" i="1"/>
  <c r="AB70" i="1" s="1"/>
  <c r="AD22" i="1"/>
  <c r="AD70" i="1" s="1"/>
  <c r="AD72" i="1" l="1"/>
  <c r="AD75" i="1" s="1"/>
  <c r="AB72" i="1"/>
  <c r="AB75" i="1" s="1"/>
  <c r="AE72" i="1"/>
  <c r="AE75" i="1" s="1"/>
  <c r="AC29" i="1"/>
  <c r="AC70" i="1"/>
  <c r="Z72" i="1"/>
  <c r="Z75" i="1" s="1"/>
  <c r="AA75" i="1"/>
  <c r="AC26" i="1"/>
  <c r="AC30" i="1" s="1"/>
  <c r="AD26" i="1"/>
  <c r="AD30" i="1" s="1"/>
  <c r="AE29" i="1"/>
  <c r="AE26" i="1"/>
  <c r="AE30" i="1" s="1"/>
  <c r="AA29" i="1"/>
  <c r="Z26" i="1"/>
  <c r="Z30" i="1" s="1"/>
  <c r="Z29" i="1"/>
  <c r="AB29" i="1"/>
  <c r="AD29" i="1"/>
  <c r="AB26" i="1"/>
  <c r="AB30" i="1" s="1"/>
  <c r="AA26" i="1"/>
  <c r="AA30" i="1" s="1"/>
  <c r="AC72" i="1" l="1"/>
  <c r="AC75" i="1" s="1"/>
  <c r="W56" i="1"/>
  <c r="W5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Joshua Chen</author>
  </authors>
  <commentList>
    <comment ref="V55" authorId="0" shapeId="0" xr:uid="{00000000-0006-0000-0300-000001000000}">
      <text>
        <r>
          <rPr>
            <b/>
            <sz val="9"/>
            <color rgb="FF000000"/>
            <rFont val="Calibri"/>
            <family val="2"/>
          </rPr>
          <t>Joshua Chen:</t>
        </r>
        <r>
          <rPr>
            <sz val="9"/>
            <color rgb="FF000000"/>
            <rFont val="Calibri"/>
            <family val="2"/>
          </rPr>
          <t xml:space="preserve">
</t>
        </r>
        <r>
          <rPr>
            <sz val="9"/>
            <color rgb="FF000000"/>
            <rFont val="Calibri"/>
            <family val="2"/>
          </rPr>
          <t xml:space="preserve">produced a record 14,037 new Tesla
</t>
        </r>
        <r>
          <rPr>
            <sz val="9"/>
            <color rgb="FF000000"/>
            <rFont val="Calibri"/>
            <family val="2"/>
          </rPr>
          <t>vehicles</t>
        </r>
      </text>
    </comment>
    <comment ref="V60" authorId="0" shapeId="0" xr:uid="{00000000-0006-0000-0300-000002000000}">
      <text>
        <r>
          <rPr>
            <b/>
            <sz val="9"/>
            <color rgb="FF000000"/>
            <rFont val="Calibri"/>
            <family val="2"/>
          </rPr>
          <t>Joshua Chen:</t>
        </r>
        <r>
          <rPr>
            <sz val="9"/>
            <color rgb="FF000000"/>
            <rFont val="Calibri"/>
            <family val="2"/>
          </rPr>
          <t xml:space="preserve">
</t>
        </r>
        <r>
          <rPr>
            <sz val="9"/>
            <color rgb="FF000000"/>
            <rFont val="Calibri"/>
            <family val="2"/>
          </rPr>
          <t xml:space="preserve">produced a record 14,037 new Tesla
</t>
        </r>
        <r>
          <rPr>
            <sz val="9"/>
            <color rgb="FF000000"/>
            <rFont val="Calibri"/>
            <family val="2"/>
          </rPr>
          <t>vehicles</t>
        </r>
      </text>
    </comment>
  </commentList>
</comments>
</file>

<file path=xl/sharedStrings.xml><?xml version="1.0" encoding="utf-8"?>
<sst xmlns="http://schemas.openxmlformats.org/spreadsheetml/2006/main" count="304" uniqueCount="226">
  <si>
    <t>Summary Financial and Operating Data for Select Automobile Manufacturers: 2017</t>
  </si>
  <si>
    <t>Audi</t>
  </si>
  <si>
    <t>BMW</t>
  </si>
  <si>
    <t xml:space="preserve">Daimler </t>
  </si>
  <si>
    <t xml:space="preserve">Fiat Chrysler </t>
  </si>
  <si>
    <t xml:space="preserve">Ford </t>
  </si>
  <si>
    <t>GM</t>
  </si>
  <si>
    <t>Honda</t>
  </si>
  <si>
    <t>Nissan</t>
  </si>
  <si>
    <t>Tesla</t>
  </si>
  <si>
    <t>Toyota</t>
  </si>
  <si>
    <t>Volkswagen</t>
  </si>
  <si>
    <t>Source</t>
  </si>
  <si>
    <t>Select income statement data</t>
  </si>
  <si>
    <t>CapitalIQ</t>
  </si>
  <si>
    <t>Total Revenue ($ millions)</t>
  </si>
  <si>
    <t>Revenue Growth (5 year compound average growth rate)</t>
  </si>
  <si>
    <t>Gross Profit ($ millions)</t>
  </si>
  <si>
    <t>Research and Development Expenditure ($ millions)</t>
  </si>
  <si>
    <t>Operating Income ($ millions)</t>
  </si>
  <si>
    <t>EBITDA ($ millions)</t>
  </si>
  <si>
    <t>Net Income ($ millions)</t>
  </si>
  <si>
    <t>Select balance sheet data</t>
  </si>
  <si>
    <t>Cash And Equivalents ($ millions)</t>
  </si>
  <si>
    <t>Net Property, Plant &amp; Equipment ($ millions)</t>
  </si>
  <si>
    <t>Total Assets ($ millions)</t>
  </si>
  <si>
    <t>Long-Term Debt ($ millions)</t>
  </si>
  <si>
    <t>Select financial ratios</t>
  </si>
  <si>
    <t>Gross Margin (gross profit/revenues)</t>
  </si>
  <si>
    <t>Calculated</t>
  </si>
  <si>
    <t>Operating Margin (operating income/revenues)</t>
  </si>
  <si>
    <t>Return on Assets (operating margin/total sales)</t>
  </si>
  <si>
    <t>Other data</t>
  </si>
  <si>
    <t>Total Employees</t>
  </si>
  <si>
    <t xml:space="preserve">2016 Total vehicle production (thousands of units) </t>
  </si>
  <si>
    <t>Statista; OICA</t>
  </si>
  <si>
    <t xml:space="preserve">Share of US car and light truck market </t>
  </si>
  <si>
    <t>WSJ</t>
  </si>
  <si>
    <t>Market Capitalization on June 29, 2018 ($ millions)</t>
  </si>
  <si>
    <t>Notes:</t>
  </si>
  <si>
    <t xml:space="preserve">  1) Daimler includes Mercedes-Benz brand</t>
  </si>
  <si>
    <t xml:space="preserve">  2) Fiat Chrysler includes Chrysler, Dodge, Fiat, and Jeep brands</t>
  </si>
  <si>
    <t xml:space="preserve">  3) Ford includes Ford, Lincoln, and Mazda brands</t>
  </si>
  <si>
    <t xml:space="preserve">  4) GM (General Motors) includes Buick, Cadillac, Chevrolet, and GMC brands</t>
  </si>
  <si>
    <t>Data on Selected Luxury Cars</t>
  </si>
  <si>
    <t>Unit sales in US market</t>
  </si>
  <si>
    <t>Tesla Model S</t>
  </si>
  <si>
    <t>n.a.</t>
  </si>
  <si>
    <t>Audi A7</t>
  </si>
  <si>
    <t>Audi A8</t>
  </si>
  <si>
    <t>BMW 6-Series</t>
  </si>
  <si>
    <t>BMW 7-Series</t>
  </si>
  <si>
    <t>Jaguar XJ</t>
  </si>
  <si>
    <t>Lexus LS</t>
  </si>
  <si>
    <t>Mercedes-Benz CLS-Class</t>
  </si>
  <si>
    <t>Mercedes-Benz S-Class</t>
  </si>
  <si>
    <t>Porsche Panamera</t>
  </si>
  <si>
    <t>* includes sales in Canada</t>
  </si>
  <si>
    <t>Source: Unit sales by year from www.goodcarbadcar.net</t>
  </si>
  <si>
    <t>Note: Porsche Panamera and Tesla Model S US unit sales from carsalesbase</t>
  </si>
  <si>
    <t>Manufacturer Suggested Retail Price (MSRP) and average purchase price for 2017 model year bought new</t>
  </si>
  <si>
    <t>2016 (New)</t>
  </si>
  <si>
    <t>MSRP</t>
  </si>
  <si>
    <t>Average price</t>
  </si>
  <si>
    <t>Tesla Model X 75D</t>
  </si>
  <si>
    <t>Tesla Model S 90D</t>
  </si>
  <si>
    <t>Audi A7 Premium Plus</t>
  </si>
  <si>
    <t>Audi A8 L3.0T</t>
  </si>
  <si>
    <t>BMW 7-Series 740i</t>
  </si>
  <si>
    <t>Jaguar XJ R-Sport</t>
  </si>
  <si>
    <t>Lexus LS 460</t>
  </si>
  <si>
    <t>Mercedes-Benz S-Class S550</t>
  </si>
  <si>
    <t>Porsche Panamera 4</t>
  </si>
  <si>
    <t>Source: Manufacturer suggested retail price and average price paid in zip code 02139 from www.kbb.com</t>
  </si>
  <si>
    <t>Third pary evaluations of luxury cars for 2017 model year</t>
  </si>
  <si>
    <t>Owner</t>
  </si>
  <si>
    <t>Predicted</t>
  </si>
  <si>
    <t xml:space="preserve">Overall </t>
  </si>
  <si>
    <t xml:space="preserve">Critics </t>
  </si>
  <si>
    <t>Overall</t>
  </si>
  <si>
    <t>Satisfaction</t>
  </si>
  <si>
    <t>Reliability</t>
  </si>
  <si>
    <t>Rating</t>
  </si>
  <si>
    <t>Score</t>
  </si>
  <si>
    <t>Maximum possible score</t>
  </si>
  <si>
    <t>Data source</t>
  </si>
  <si>
    <t>CR</t>
  </si>
  <si>
    <t>USNWR</t>
  </si>
  <si>
    <t xml:space="preserve">Tesla Model X </t>
  </si>
  <si>
    <t xml:space="preserve">Audi A7 </t>
  </si>
  <si>
    <t xml:space="preserve">Audi A8 </t>
  </si>
  <si>
    <t>BMW 6 Series</t>
  </si>
  <si>
    <t>BMW 7 Series</t>
  </si>
  <si>
    <t xml:space="preserve">Lexus LS </t>
  </si>
  <si>
    <t>Mercedes-Benz S</t>
  </si>
  <si>
    <t>Source 1: CR = Consumer Reports, a non-profit organization providing reviews of consumer products based on large sample surveys and independent tests of vehicles</t>
  </si>
  <si>
    <t xml:space="preserve">Source 2: USNWR = US News and World Report, which bases its rtings on published reviews of cars and reliability data from third parties. </t>
  </si>
  <si>
    <t>Note: Consumer Reports owner satisfaction = percentage of car owners surveyed who would definitely purchase the same car again</t>
  </si>
  <si>
    <t>Data on Five Automotive Component Suppliers: 2017</t>
  </si>
  <si>
    <t xml:space="preserve">Robert Bosch </t>
  </si>
  <si>
    <t xml:space="preserve">Continental </t>
  </si>
  <si>
    <t xml:space="preserve">Magna International </t>
  </si>
  <si>
    <t xml:space="preserve">DENSO Corporation </t>
  </si>
  <si>
    <t xml:space="preserve">ZF Friedrichshafen </t>
  </si>
  <si>
    <t>Products</t>
  </si>
  <si>
    <t>Gasoline systems, diesel systems, electric systems; electrical drives, car multimedia, electronics &amp; steering systems, battery technology</t>
  </si>
  <si>
    <t>Advanced driver assistance systems, electronic brakes, stability management systems, tires, foundation brakes, chassis systems, safety system electronics, telematics, powertrain electronics, injection systems, gasoline turbochargers, interior modules, instrumentation, technical elastomers</t>
  </si>
  <si>
    <t>Body, chassis, exterior, seating, powertrain, electronic, vision &amp; closure &amp; roof systems &amp; modules</t>
  </si>
  <si>
    <t>Thermal, powertrain control, electronic &amp; electric systems, small motors &amp; telecommunications</t>
  </si>
  <si>
    <t>Transmissions, chassis omponents &amp; systems, steering systems, clutches, dampers &amp; active &amp; passive safety systems</t>
  </si>
  <si>
    <t>Headquarters Country</t>
  </si>
  <si>
    <t>Germany</t>
  </si>
  <si>
    <t>Canada</t>
  </si>
  <si>
    <t>Japan</t>
  </si>
  <si>
    <t>Not available</t>
  </si>
  <si>
    <t>Market Capitalization June 2018 ($ million)</t>
  </si>
  <si>
    <t>-</t>
  </si>
  <si>
    <t xml:space="preserve">Total Global OEM Automotive Parts Revenue </t>
  </si>
  <si>
    <t xml:space="preserve">IBIS </t>
  </si>
  <si>
    <t xml:space="preserve">    % North America</t>
  </si>
  <si>
    <t>PWC</t>
  </si>
  <si>
    <t xml:space="preserve">    % Europe</t>
  </si>
  <si>
    <t xml:space="preserve">    % Asia</t>
  </si>
  <si>
    <t xml:space="preserve">    % Rest of World</t>
  </si>
  <si>
    <t>Share of Global Automotive Components Market</t>
  </si>
  <si>
    <t>TESLA MOTORS: SELECT FINANCIAL AND OPERATING DATA ($ million and units)</t>
  </si>
  <si>
    <t>Q1</t>
  </si>
  <si>
    <t>Q2</t>
  </si>
  <si>
    <t>Q3</t>
  </si>
  <si>
    <t>Q4</t>
  </si>
  <si>
    <t xml:space="preserve">INCOME STATEMENT </t>
  </si>
  <si>
    <t>Revenues</t>
  </si>
  <si>
    <t xml:space="preserve">Automotive </t>
  </si>
  <si>
    <t>Other</t>
  </si>
  <si>
    <t xml:space="preserve">     Total revenues</t>
  </si>
  <si>
    <t>Cost of Revenues</t>
  </si>
  <si>
    <t xml:space="preserve">Other </t>
  </si>
  <si>
    <t xml:space="preserve">     Total cost of revenues (COGS)</t>
  </si>
  <si>
    <t>Gross profit/(loss)</t>
  </si>
  <si>
    <t>Research and development</t>
  </si>
  <si>
    <t>Selling, general and administrative</t>
  </si>
  <si>
    <t xml:space="preserve">   Total operating expenses</t>
  </si>
  <si>
    <t>Earnings (loss) before interest and tax</t>
  </si>
  <si>
    <t>Net interest expense</t>
  </si>
  <si>
    <t>Other income (expense), net</t>
  </si>
  <si>
    <t>Profit/(loss) before income taxes</t>
  </si>
  <si>
    <t>Provision for income taxes</t>
  </si>
  <si>
    <t>interest tax rate</t>
  </si>
  <si>
    <t>Net income/(loss)</t>
  </si>
  <si>
    <t>SELECT BALANCE SHEET DATA</t>
  </si>
  <si>
    <t>Cash and cash equivalents</t>
  </si>
  <si>
    <t>Total current assets</t>
  </si>
  <si>
    <t>Total assets</t>
  </si>
  <si>
    <t>Total current liabilities</t>
  </si>
  <si>
    <t>Long-term debt</t>
  </si>
  <si>
    <t>Total stockholders' equity</t>
  </si>
  <si>
    <t>WORKING CAPITAL</t>
  </si>
  <si>
    <t>Accounts receivable</t>
  </si>
  <si>
    <t>Inventory</t>
  </si>
  <si>
    <t>Prepaid expenses and other current assets</t>
  </si>
  <si>
    <t>Accounts payable</t>
  </si>
  <si>
    <t>SELECT CASH FLOW STATEMENT DATA</t>
  </si>
  <si>
    <t>Depreciation and amortization</t>
  </si>
  <si>
    <t>Capital Expenditure</t>
  </si>
  <si>
    <t>Change in accounts receivable</t>
  </si>
  <si>
    <t>Change in inventory</t>
  </si>
  <si>
    <t>Change in prepaid expenses and other CA</t>
  </si>
  <si>
    <t>Change in accounts payable</t>
  </si>
  <si>
    <t>DELIVERIES AND PRODUCTION</t>
  </si>
  <si>
    <t>Model S deliveries</t>
  </si>
  <si>
    <t>Model X deliveries</t>
  </si>
  <si>
    <t>Model S/X deliveries</t>
  </si>
  <si>
    <t>Model 3 deliveries</t>
  </si>
  <si>
    <t xml:space="preserve">    Total deliveries </t>
  </si>
  <si>
    <t xml:space="preserve">Total vehicle production </t>
  </si>
  <si>
    <t>STOCK MARKET PERFORMANCE</t>
  </si>
  <si>
    <t>Tesla stock price at end of quarter</t>
  </si>
  <si>
    <t xml:space="preserve">Tesla market capitalization at year end </t>
  </si>
  <si>
    <t>Auto industry index stock price change (%)</t>
  </si>
  <si>
    <t>SIMPLIFIED FREE CASH FLOW CALCULATION</t>
  </si>
  <si>
    <t>Q1/2011</t>
  </si>
  <si>
    <t>Q2/2011</t>
  </si>
  <si>
    <t>Q3/2011</t>
  </si>
  <si>
    <t>Q4/2011</t>
  </si>
  <si>
    <t>Q1/2012</t>
  </si>
  <si>
    <t>Q2/2012</t>
  </si>
  <si>
    <t>Q3/2012</t>
  </si>
  <si>
    <t>Q4/2012</t>
  </si>
  <si>
    <t>Q1/2013</t>
  </si>
  <si>
    <t>Q2/2013</t>
  </si>
  <si>
    <t>Q3/2013</t>
  </si>
  <si>
    <t>Q4/2013</t>
  </si>
  <si>
    <t>Q1/2014</t>
  </si>
  <si>
    <t>Q2/2014</t>
  </si>
  <si>
    <t>Q3/2014</t>
  </si>
  <si>
    <t>Q4/2014</t>
  </si>
  <si>
    <t>Q1/2015</t>
  </si>
  <si>
    <t>Q2/2015</t>
  </si>
  <si>
    <t>Q3/2015</t>
  </si>
  <si>
    <t>Q4/2015</t>
  </si>
  <si>
    <t>Q1/2016</t>
  </si>
  <si>
    <t>Q2/2016</t>
  </si>
  <si>
    <t>Q3/2016</t>
  </si>
  <si>
    <t>Q4/2016</t>
  </si>
  <si>
    <t>Q1/2017</t>
  </si>
  <si>
    <t>Q2/2017</t>
  </si>
  <si>
    <t>Q3/2017</t>
  </si>
  <si>
    <t>Q4/2017</t>
  </si>
  <si>
    <t>Q1/2018</t>
  </si>
  <si>
    <t>Q2/2018</t>
  </si>
  <si>
    <t>Q3/2018</t>
  </si>
  <si>
    <t>Q4/2018</t>
  </si>
  <si>
    <t>Q1/2019</t>
  </si>
  <si>
    <t>Q2/2019</t>
  </si>
  <si>
    <t>+</t>
  </si>
  <si>
    <t xml:space="preserve">     EBITDA</t>
  </si>
  <si>
    <t>+/-</t>
  </si>
  <si>
    <t>Change in Working Capital</t>
  </si>
  <si>
    <t xml:space="preserve">     Simplified Free Cash Flow</t>
  </si>
  <si>
    <t>Sources:</t>
  </si>
  <si>
    <t>Financial data from Tesla Motors financial reports and Capital IQ data base</t>
  </si>
  <si>
    <t>Delivery and production data from Tesla Motors quarterly press releases</t>
  </si>
  <si>
    <t>Stock market data from Morningstar</t>
  </si>
  <si>
    <t>Automotive revenues include auto sales and leasing</t>
  </si>
  <si>
    <t>Other revenues include energy generation and storage, and services</t>
  </si>
  <si>
    <t>Change in working capital in free cash flow calculation is sum of change in accounts receivable, change in inventory, change in prepaid expenses and other current assets (CA) and change in accounts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</si>
</sst>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00_-;\-* #,##0.00_-;_-* &quot;-&quot;??_-;_-@_-"/>
    <numFmt numFmtId="165" formatCode="_(* #,##0_);_(* \(#,##0\);_(* &quot;-&quot;??_);_(@_)"/>
    <numFmt numFmtId="166" formatCode="0.0%"/>
    <numFmt numFmtId="167" formatCode="_-* #,##0_-;\-* #,##0_-;_-* &quot;-&quot;??_-;_-@_-"/>
    <numFmt numFmtId="168" formatCode="#,##0.0"/>
    <numFmt numFmtId="169" formatCode="_(* #,##0.0_);_(* \(#,##0.0\)_)\ ;_(* 0_)"/>
    <numFmt numFmtId="170" formatCode="_(* #,##0.0#_);_(* \(#,##0.0#\)_)\ ;_(* 0_)"/>
    <numFmt numFmtId="171" formatCode="0_);[Red]\(0\)"/>
    <numFmt numFmtId="172" formatCode="_-* #,##0.0_-;\-* #,##0.0_-;_-* &quot;-&quot;?_-;_-@_-"/>
    <numFmt numFmtId="173" formatCode="_(* #,##0.0_);_(* \(#,##0.0\);_(* &quot;-&quot;??_);_(@_)"/>
    <numFmt numFmtId="174" formatCode="0_ ;[Red]\-0\ "/>
    <numFmt numFmtId="175" formatCode="_(* #,##0_);_(* \(#,##0\)_)\ ;_(* 0_)"/>
    <numFmt numFmtId="176" formatCode="[$-409]mmmm\ d\,\ yyyy;@"/>
  </numFmts>
  <fonts count="26">
    <font>
      <sz val="12"/>
      <color theme="1"/>
      <name val="TimesNewRomanPSMT"/>
      <family val="2"/>
    </font>
    <font>
      <sz val="12"/>
      <color theme="1"/>
      <name val="TimesNewRomanPSMT"/>
      <family val="2"/>
    </font>
    <font>
      <b/>
      <sz val="12"/>
      <color theme="1"/>
      <name val="TimesNewRomanPSMT"/>
      <family val="2"/>
    </font>
    <font>
      <u/>
      <sz val="12"/>
      <color theme="10"/>
      <name val="TimesNewRomanPSMT"/>
      <family val="2"/>
    </font>
    <font>
      <u/>
      <sz val="12"/>
      <color theme="11"/>
      <name val="TimesNewRomanPSMT"/>
      <family val="2"/>
    </font>
    <font>
      <b/>
      <u val="singleAccounting"/>
      <sz val="8"/>
      <color indexed="8"/>
      <name val="Arial"/>
      <family val="2"/>
    </font>
    <font>
      <sz val="8"/>
      <color indexed="8"/>
      <name val="Arial"/>
      <family val="2"/>
    </font>
    <font>
      <b/>
      <sz val="12"/>
      <color theme="1"/>
      <name val="TimesNewRomanPSMT"/>
    </font>
    <font>
      <b/>
      <sz val="9"/>
      <color rgb="FF000000"/>
      <name val="Calibri"/>
      <family val="2"/>
    </font>
    <font>
      <sz val="9"/>
      <color rgb="FF000000"/>
      <name val="Calibri"/>
      <family val="2"/>
    </font>
    <font>
      <b/>
      <sz val="12"/>
      <color rgb="FF000000"/>
      <name val="Times New Roman"/>
      <family val="1"/>
    </font>
    <font>
      <sz val="12"/>
      <color theme="1"/>
      <name val="Times New Roman"/>
      <family val="1"/>
    </font>
    <font>
      <sz val="12"/>
      <color rgb="FF000000"/>
      <name val="Times New Roman"/>
      <family val="1"/>
    </font>
    <font>
      <u/>
      <sz val="12"/>
      <color theme="10"/>
      <name val="Times New Roman"/>
      <family val="1"/>
    </font>
    <font>
      <b/>
      <sz val="12"/>
      <color indexed="8"/>
      <name val="Times New Roman"/>
      <family val="1"/>
    </font>
    <font>
      <sz val="12"/>
      <color indexed="8"/>
      <name val="Times New Roman"/>
      <family val="1"/>
    </font>
    <font>
      <sz val="12"/>
      <name val="Times New Roman"/>
      <family val="1"/>
    </font>
    <font>
      <b/>
      <u val="singleAccounting"/>
      <sz val="12"/>
      <color indexed="8"/>
      <name val="Times New Roman"/>
      <family val="1"/>
    </font>
    <font>
      <u val="singleAccounting"/>
      <sz val="12"/>
      <color indexed="8"/>
      <name val="Times New Roman"/>
      <family val="1"/>
    </font>
    <font>
      <b/>
      <sz val="12"/>
      <color theme="1"/>
      <name val="Times New Roman"/>
      <family val="1"/>
    </font>
    <font>
      <b/>
      <sz val="12"/>
      <name val="Times New Roman"/>
      <family val="1"/>
    </font>
    <font>
      <b/>
      <u val="singleAccounting"/>
      <sz val="12"/>
      <name val="Times New Roman"/>
      <family val="1"/>
    </font>
    <font>
      <sz val="12"/>
      <color theme="10"/>
      <name val="Times New Roman"/>
      <family val="1"/>
    </font>
    <font>
      <sz val="12"/>
      <color rgb="FF0070C0"/>
      <name val="TimesNewRomanPSMT"/>
      <family val="2"/>
    </font>
    <font>
      <u/>
      <sz val="12"/>
      <color theme="1"/>
      <name val="TimesNewRomanPSMT"/>
      <family val="2"/>
    </font>
    <font>
      <sz val="8"/>
      <name val="TimesNewRomanPSMT"/>
      <family val="2"/>
    </font>
  </fonts>
  <fills count="3">
    <fill>
      <patternFill patternType="none"/>
    </fill>
    <fill>
      <patternFill patternType="gray125"/>
    </fill>
    <fill>
      <patternFill patternType="solid">
        <fgColor indexed="60"/>
        <bgColor indexed="64"/>
      </patternFill>
    </fill>
  </fills>
  <borders count="1">
    <border>
      <left/>
      <right/>
      <top/>
      <bottom/>
      <diagonal/>
    </border>
  </borders>
  <cellStyleXfs count="21">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5" fillId="2" borderId="0" applyAlignment="0"/>
    <xf numFmtId="0" fontId="6" fillId="0" borderId="0" applyAlignment="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cellStyleXfs>
  <cellXfs count="107">
    <xf numFmtId="0" fontId="0" fillId="0" borderId="0" xfId="0"/>
    <xf numFmtId="0" fontId="0" fillId="0" borderId="0" xfId="0" applyAlignment="1">
      <alignment horizontal="center"/>
    </xf>
    <xf numFmtId="0" fontId="2" fillId="0" borderId="0" xfId="0" applyFont="1" applyAlignment="1">
      <alignment horizontal="left"/>
    </xf>
    <xf numFmtId="38" fontId="0" fillId="0" borderId="0" xfId="0" applyNumberFormat="1"/>
    <xf numFmtId="0" fontId="2" fillId="0" borderId="0" xfId="0" applyFont="1"/>
    <xf numFmtId="167" fontId="0" fillId="0" borderId="0" xfId="1" applyNumberFormat="1" applyFont="1" applyBorder="1"/>
    <xf numFmtId="165" fontId="0" fillId="0" borderId="0" xfId="1" applyNumberFormat="1" applyFont="1"/>
    <xf numFmtId="165" fontId="0" fillId="0" borderId="0" xfId="0" applyNumberFormat="1"/>
    <xf numFmtId="3" fontId="0" fillId="0" borderId="0" xfId="0" applyNumberFormat="1"/>
    <xf numFmtId="3" fontId="0" fillId="0" borderId="0" xfId="1" applyNumberFormat="1" applyFont="1"/>
    <xf numFmtId="9" fontId="0" fillId="0" borderId="0" xfId="0" applyNumberFormat="1"/>
    <xf numFmtId="0" fontId="0" fillId="0" borderId="0" xfId="0" applyAlignment="1">
      <alignment horizontal="right"/>
    </xf>
    <xf numFmtId="38" fontId="2" fillId="0" borderId="0" xfId="0" applyNumberFormat="1" applyFont="1" applyAlignment="1">
      <alignment horizontal="left"/>
    </xf>
    <xf numFmtId="171" fontId="2" fillId="0" borderId="0" xfId="0" applyNumberFormat="1" applyFont="1" applyAlignment="1">
      <alignment horizontal="left"/>
    </xf>
    <xf numFmtId="38" fontId="0" fillId="0" borderId="0" xfId="0" applyNumberFormat="1" applyAlignment="1">
      <alignment horizontal="center"/>
    </xf>
    <xf numFmtId="165" fontId="0" fillId="0" borderId="0" xfId="1" applyNumberFormat="1" applyFont="1" applyFill="1"/>
    <xf numFmtId="9" fontId="0" fillId="0" borderId="0" xfId="2" applyFont="1"/>
    <xf numFmtId="165" fontId="0" fillId="0" borderId="0" xfId="1" applyNumberFormat="1" applyFont="1" applyAlignment="1">
      <alignment horizontal="right"/>
    </xf>
    <xf numFmtId="9" fontId="0" fillId="0" borderId="0" xfId="2" applyFont="1" applyFill="1"/>
    <xf numFmtId="165" fontId="0" fillId="0" borderId="0" xfId="1" applyNumberFormat="1" applyFont="1" applyFill="1" applyAlignment="1">
      <alignment horizontal="right"/>
    </xf>
    <xf numFmtId="173" fontId="0" fillId="0" borderId="0" xfId="1" applyNumberFormat="1" applyFont="1"/>
    <xf numFmtId="173" fontId="0" fillId="0" borderId="0" xfId="0" applyNumberFormat="1"/>
    <xf numFmtId="9" fontId="0" fillId="0" borderId="0" xfId="2" applyFont="1" applyFill="1" applyAlignment="1">
      <alignment horizontal="right"/>
    </xf>
    <xf numFmtId="0" fontId="7" fillId="0" borderId="0" xfId="0" applyFont="1"/>
    <xf numFmtId="2" fontId="2" fillId="0" borderId="0" xfId="0" applyNumberFormat="1" applyFont="1"/>
    <xf numFmtId="2" fontId="0" fillId="0" borderId="0" xfId="0" applyNumberFormat="1"/>
    <xf numFmtId="174" fontId="0" fillId="0" borderId="0" xfId="0" applyNumberFormat="1"/>
    <xf numFmtId="0" fontId="10" fillId="0" borderId="0" xfId="0" applyFont="1" applyAlignment="1">
      <alignment vertical="top"/>
    </xf>
    <xf numFmtId="0" fontId="11" fillId="0" borderId="0" xfId="0" applyFont="1"/>
    <xf numFmtId="164" fontId="12" fillId="0" borderId="0" xfId="0" applyNumberFormat="1" applyFont="1"/>
    <xf numFmtId="172" fontId="12" fillId="0" borderId="0" xfId="0" applyNumberFormat="1" applyFont="1"/>
    <xf numFmtId="0" fontId="12" fillId="0" borderId="0" xfId="0" applyFont="1"/>
    <xf numFmtId="3" fontId="11" fillId="0" borderId="0" xfId="0" applyNumberFormat="1" applyFont="1"/>
    <xf numFmtId="166" fontId="11" fillId="0" borderId="0" xfId="2" applyNumberFormat="1" applyFont="1"/>
    <xf numFmtId="0" fontId="13" fillId="0" borderId="0" xfId="3" applyFont="1" applyAlignment="1">
      <alignment horizontal="left" vertical="top"/>
    </xf>
    <xf numFmtId="166" fontId="11" fillId="0" borderId="0" xfId="0" applyNumberFormat="1" applyFont="1"/>
    <xf numFmtId="0" fontId="11" fillId="0" borderId="0" xfId="0" applyFont="1" applyAlignment="1">
      <alignment horizontal="left" vertical="top"/>
    </xf>
    <xf numFmtId="10" fontId="11" fillId="0" borderId="0" xfId="0" applyNumberFormat="1" applyFont="1" applyAlignment="1">
      <alignment horizontal="right" vertical="top"/>
    </xf>
    <xf numFmtId="0" fontId="11" fillId="0" borderId="0" xfId="0" applyFont="1" applyAlignment="1">
      <alignment horizontal="left" vertical="top" wrapText="1"/>
    </xf>
    <xf numFmtId="0" fontId="11" fillId="0" borderId="0" xfId="0" applyFont="1" applyAlignment="1">
      <alignment horizontal="right" vertical="top"/>
    </xf>
    <xf numFmtId="166" fontId="11" fillId="0" borderId="0" xfId="0" applyNumberFormat="1" applyFont="1" applyAlignment="1">
      <alignment horizontal="left" vertical="top"/>
    </xf>
    <xf numFmtId="3" fontId="11" fillId="0" borderId="0" xfId="0" applyNumberFormat="1" applyFont="1" applyAlignment="1">
      <alignment horizontal="right" vertical="top"/>
    </xf>
    <xf numFmtId="0" fontId="14" fillId="0" borderId="0" xfId="15" applyFont="1" applyFill="1" applyAlignment="1">
      <alignment horizontal="left" vertical="top" wrapText="1"/>
    </xf>
    <xf numFmtId="0" fontId="14" fillId="0" borderId="0" xfId="16" applyFont="1" applyAlignment="1">
      <alignment horizontal="left" vertical="top" wrapText="1"/>
    </xf>
    <xf numFmtId="0" fontId="15" fillId="0" borderId="0" xfId="15" applyFont="1" applyFill="1" applyAlignment="1">
      <alignment horizontal="left" vertical="top" wrapText="1"/>
    </xf>
    <xf numFmtId="0" fontId="15" fillId="0" borderId="0" xfId="16" applyFont="1" applyAlignment="1">
      <alignment horizontal="left" vertical="top" wrapText="1"/>
    </xf>
    <xf numFmtId="169" fontId="16" fillId="0" borderId="0" xfId="0" applyNumberFormat="1" applyFont="1" applyAlignment="1">
      <alignment horizontal="right" vertical="top" wrapText="1"/>
    </xf>
    <xf numFmtId="168" fontId="11" fillId="0" borderId="0" xfId="0" applyNumberFormat="1" applyFont="1"/>
    <xf numFmtId="0" fontId="16" fillId="0" borderId="0" xfId="0" applyFont="1" applyAlignment="1">
      <alignment horizontal="left" vertical="top"/>
    </xf>
    <xf numFmtId="0" fontId="17" fillId="0" borderId="0" xfId="15" applyFont="1" applyFill="1" applyAlignment="1">
      <alignment horizontal="left" vertical="top" wrapText="1"/>
    </xf>
    <xf numFmtId="0" fontId="18" fillId="0" borderId="0" xfId="15" applyFont="1" applyFill="1" applyAlignment="1">
      <alignment horizontal="left" vertical="top" wrapText="1"/>
    </xf>
    <xf numFmtId="0" fontId="10" fillId="0" borderId="0" xfId="15" applyFont="1" applyFill="1" applyAlignment="1">
      <alignment horizontal="left" vertical="top" wrapText="1"/>
    </xf>
    <xf numFmtId="170" fontId="16" fillId="0" borderId="0" xfId="0" applyNumberFormat="1" applyFont="1" applyAlignment="1">
      <alignment horizontal="right" vertical="top" wrapText="1"/>
    </xf>
    <xf numFmtId="3" fontId="11" fillId="0" borderId="0" xfId="0" applyNumberFormat="1" applyFont="1" applyAlignment="1">
      <alignment horizontal="right"/>
    </xf>
    <xf numFmtId="166" fontId="11" fillId="0" borderId="0" xfId="2" applyNumberFormat="1" applyFont="1" applyAlignment="1">
      <alignment horizontal="right" vertical="top"/>
    </xf>
    <xf numFmtId="173" fontId="15" fillId="0" borderId="0" xfId="1" applyNumberFormat="1" applyFont="1" applyFill="1" applyAlignment="1">
      <alignment horizontal="left" vertical="top" wrapText="1"/>
    </xf>
    <xf numFmtId="173" fontId="11" fillId="0" borderId="0" xfId="1" applyNumberFormat="1" applyFont="1" applyAlignment="1"/>
    <xf numFmtId="165" fontId="15" fillId="0" borderId="0" xfId="1" applyNumberFormat="1" applyFont="1" applyFill="1" applyAlignment="1">
      <alignment horizontal="left" vertical="top" wrapText="1"/>
    </xf>
    <xf numFmtId="165" fontId="16" fillId="0" borderId="0" xfId="1" applyNumberFormat="1" applyFont="1" applyAlignment="1">
      <alignment horizontal="right" vertical="top" wrapText="1"/>
    </xf>
    <xf numFmtId="165" fontId="12" fillId="0" borderId="0" xfId="1" applyNumberFormat="1" applyFont="1"/>
    <xf numFmtId="165" fontId="11" fillId="0" borderId="0" xfId="1" applyNumberFormat="1" applyFont="1" applyAlignment="1"/>
    <xf numFmtId="173" fontId="11" fillId="0" borderId="0" xfId="1" applyNumberFormat="1" applyFont="1" applyAlignment="1">
      <alignment horizontal="right"/>
    </xf>
    <xf numFmtId="165" fontId="11" fillId="0" borderId="0" xfId="1" applyNumberFormat="1" applyFont="1" applyAlignment="1">
      <alignment horizontal="right"/>
    </xf>
    <xf numFmtId="0" fontId="19" fillId="0" borderId="0" xfId="0" applyFont="1" applyAlignment="1">
      <alignment horizontal="left" vertical="top"/>
    </xf>
    <xf numFmtId="0" fontId="11" fillId="0" borderId="0" xfId="0" quotePrefix="1" applyFont="1" applyAlignment="1">
      <alignment horizontal="left" vertical="top"/>
    </xf>
    <xf numFmtId="165" fontId="15" fillId="0" borderId="0" xfId="1" applyNumberFormat="1" applyFont="1" applyFill="1" applyBorder="1" applyAlignment="1">
      <alignment horizontal="left" vertical="top" wrapText="1"/>
    </xf>
    <xf numFmtId="166" fontId="16" fillId="0" borderId="0" xfId="2" applyNumberFormat="1" applyFont="1" applyAlignment="1">
      <alignment horizontal="right" vertical="top" wrapText="1"/>
    </xf>
    <xf numFmtId="165" fontId="11" fillId="0" borderId="0" xfId="1" applyNumberFormat="1" applyFont="1" applyAlignment="1">
      <alignment horizontal="right" vertical="top"/>
    </xf>
    <xf numFmtId="165" fontId="16" fillId="0" borderId="0" xfId="1" applyNumberFormat="1" applyFont="1" applyAlignment="1">
      <alignment horizontal="right" wrapText="1"/>
    </xf>
    <xf numFmtId="166" fontId="11" fillId="0" borderId="0" xfId="2" applyNumberFormat="1" applyFont="1" applyAlignment="1">
      <alignment horizontal="right"/>
    </xf>
    <xf numFmtId="166" fontId="12" fillId="0" borderId="0" xfId="2" applyNumberFormat="1" applyFont="1"/>
    <xf numFmtId="166" fontId="11" fillId="0" borderId="0" xfId="2" applyNumberFormat="1" applyFont="1" applyAlignment="1"/>
    <xf numFmtId="0" fontId="11" fillId="0" borderId="0" xfId="0" applyFont="1" applyAlignment="1">
      <alignment vertical="top" wrapText="1"/>
    </xf>
    <xf numFmtId="0" fontId="16" fillId="0" borderId="0" xfId="0" applyFont="1" applyAlignment="1">
      <alignment horizontal="left"/>
    </xf>
    <xf numFmtId="0" fontId="20" fillId="0" borderId="0" xfId="15" applyFont="1" applyFill="1" applyAlignment="1">
      <alignment horizontal="left" vertical="top" wrapText="1"/>
    </xf>
    <xf numFmtId="0" fontId="21" fillId="0" borderId="0" xfId="15" applyFont="1" applyFill="1" applyAlignment="1">
      <alignment horizontal="left" vertical="top" wrapText="1"/>
    </xf>
    <xf numFmtId="0" fontId="14" fillId="0" borderId="0" xfId="16" applyFont="1" applyAlignment="1">
      <alignment horizontal="center" vertical="top" wrapText="1"/>
    </xf>
    <xf numFmtId="0" fontId="20" fillId="0" borderId="0" xfId="15" applyFont="1" applyFill="1" applyAlignment="1">
      <alignment horizontal="left" wrapText="1"/>
    </xf>
    <xf numFmtId="0" fontId="22" fillId="0" borderId="0" xfId="3" applyFont="1" applyFill="1" applyAlignment="1">
      <alignment horizontal="left" wrapText="1"/>
    </xf>
    <xf numFmtId="9" fontId="16" fillId="0" borderId="0" xfId="0" applyNumberFormat="1" applyFont="1" applyAlignment="1">
      <alignment horizontal="right" vertical="top" wrapText="1"/>
    </xf>
    <xf numFmtId="9" fontId="16" fillId="0" borderId="0" xfId="0" applyNumberFormat="1" applyFont="1" applyAlignment="1">
      <alignment horizontal="right" vertical="top"/>
    </xf>
    <xf numFmtId="166" fontId="22" fillId="0" borderId="0" xfId="3" applyNumberFormat="1" applyFont="1" applyFill="1" applyAlignment="1">
      <alignment horizontal="left" wrapText="1"/>
    </xf>
    <xf numFmtId="166" fontId="16" fillId="0" borderId="0" xfId="0" applyNumberFormat="1" applyFont="1" applyAlignment="1">
      <alignment horizontal="right" vertical="top"/>
    </xf>
    <xf numFmtId="0" fontId="16" fillId="0" borderId="0" xfId="0" applyFont="1" applyAlignment="1">
      <alignment horizontal="right" vertical="top"/>
    </xf>
    <xf numFmtId="0" fontId="19" fillId="0" borderId="0" xfId="0" applyFont="1"/>
    <xf numFmtId="0" fontId="16" fillId="0" borderId="0" xfId="15" applyFont="1" applyFill="1" applyAlignment="1">
      <alignment horizontal="left" wrapText="1"/>
    </xf>
    <xf numFmtId="166" fontId="16" fillId="0" borderId="0" xfId="0" applyNumberFormat="1" applyFont="1" applyAlignment="1">
      <alignment horizontal="left"/>
    </xf>
    <xf numFmtId="0" fontId="16" fillId="0" borderId="0" xfId="15" applyFont="1" applyFill="1" applyAlignment="1">
      <alignment horizontal="left" vertical="top" wrapText="1"/>
    </xf>
    <xf numFmtId="0" fontId="11" fillId="0" borderId="0" xfId="0" applyFont="1" applyAlignment="1">
      <alignment vertical="top"/>
    </xf>
    <xf numFmtId="165" fontId="16" fillId="0" borderId="0" xfId="1" applyNumberFormat="1" applyFont="1" applyFill="1" applyBorder="1" applyAlignment="1">
      <alignment horizontal="left" wrapText="1"/>
    </xf>
    <xf numFmtId="165" fontId="11" fillId="0" borderId="0" xfId="1" applyNumberFormat="1" applyFont="1"/>
    <xf numFmtId="165" fontId="16" fillId="0" borderId="0" xfId="1" applyNumberFormat="1" applyFont="1" applyAlignment="1">
      <alignment horizontal="right" vertical="top"/>
    </xf>
    <xf numFmtId="165" fontId="22" fillId="0" borderId="0" xfId="1" applyNumberFormat="1" applyFont="1" applyFill="1" applyAlignment="1">
      <alignment horizontal="left" wrapText="1"/>
    </xf>
    <xf numFmtId="175" fontId="16" fillId="0" borderId="0" xfId="0" applyNumberFormat="1" applyFont="1" applyAlignment="1">
      <alignment horizontal="right" vertical="top" wrapText="1"/>
    </xf>
    <xf numFmtId="165" fontId="16" fillId="0" borderId="0" xfId="1" applyNumberFormat="1" applyFont="1" applyFill="1" applyAlignment="1">
      <alignment horizontal="right" vertical="top" wrapText="1"/>
    </xf>
    <xf numFmtId="171" fontId="0" fillId="0" borderId="0" xfId="1" applyNumberFormat="1" applyFont="1" applyFill="1"/>
    <xf numFmtId="0" fontId="23" fillId="0" borderId="0" xfId="0" applyFont="1"/>
    <xf numFmtId="9" fontId="23" fillId="0" borderId="0" xfId="2" applyFont="1"/>
    <xf numFmtId="43" fontId="11" fillId="0" borderId="0" xfId="1" applyFont="1" applyAlignment="1">
      <alignment horizontal="left" vertical="top"/>
    </xf>
    <xf numFmtId="9" fontId="11" fillId="0" borderId="0" xfId="2" applyFont="1" applyAlignment="1"/>
    <xf numFmtId="175" fontId="11" fillId="0" borderId="0" xfId="0" applyNumberFormat="1" applyFont="1"/>
    <xf numFmtId="165" fontId="11" fillId="0" borderId="0" xfId="0" applyNumberFormat="1" applyFont="1"/>
    <xf numFmtId="167" fontId="0" fillId="0" borderId="0" xfId="0" applyNumberFormat="1"/>
    <xf numFmtId="0" fontId="24" fillId="0" borderId="0" xfId="0" applyFont="1"/>
    <xf numFmtId="0" fontId="0" fillId="0" borderId="0" xfId="0" quotePrefix="1"/>
    <xf numFmtId="176" fontId="11" fillId="0" borderId="0" xfId="0" applyNumberFormat="1" applyFont="1" applyAlignment="1">
      <alignment horizontal="left" vertical="top"/>
    </xf>
    <xf numFmtId="0" fontId="0" fillId="0" borderId="0" xfId="0" applyAlignment="1">
      <alignment horizontal="center"/>
    </xf>
  </cellXfs>
  <cellStyles count="21">
    <cellStyle name="ColumnHeaderNormal" xfId="15" xr:uid="{00000000-0005-0000-0000-000000000000}"/>
    <cellStyle name="Comma" xfId="1" builtinId="3"/>
    <cellStyle name="Followed Hyperlink" xfId="17" builtinId="9" hidden="1"/>
    <cellStyle name="Followed Hyperlink" xfId="18" builtinId="9" hidden="1"/>
    <cellStyle name="Followed Hyperlink" xfId="20" builtinId="9" hidden="1"/>
    <cellStyle name="Followed Hyperlink" xfId="19" builtinId="9" hidden="1"/>
    <cellStyle name="Followed Hyperlink" xfId="8"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9" builtinId="9" hidden="1"/>
    <cellStyle name="Followed Hyperlink" xfId="6" builtinId="9" hidden="1"/>
    <cellStyle name="Followed Hyperlink" xfId="7" builtinId="9" hidden="1"/>
    <cellStyle name="Followed Hyperlink" xfId="5" builtinId="9" hidden="1"/>
    <cellStyle name="Followed Hyperlink" xfId="4" builtinId="9" hidden="1"/>
    <cellStyle name="Hyperlink" xfId="3" builtinId="8"/>
    <cellStyle name="Normal" xfId="0" builtinId="0"/>
    <cellStyle name="Percent" xfId="2" builtinId="5"/>
    <cellStyle name="TextNormal" xfId="16" xr:uid="{00000000-0005-0000-0000-000014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wsj.com/mdc/public/page/2_3022-autosales.htm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clients1.ibisworld.com/reports/gl/industry/default.aspx?entid=1010" TargetMode="External"/><Relationship Id="rId2" Type="http://schemas.openxmlformats.org/officeDocument/2006/relationships/hyperlink" Target="https://www.magna.com/docs/default-source/2017-press-releases/automotive-news-top-suppliers-6-26-2017.pdf?sfvrsn=2" TargetMode="External"/><Relationship Id="rId1" Type="http://schemas.openxmlformats.org/officeDocument/2006/relationships/hyperlink" Target="https://www.magna.com/docs/default-source/2017-press-releases/automotive-news-top-suppliers-6-26-2017.pdf?sfvrsn=2" TargetMode="External"/><Relationship Id="rId4" Type="http://schemas.openxmlformats.org/officeDocument/2006/relationships/hyperlink" Target="https://clients1.ibisworld.com/reports/gl/industry/default.aspx?entid=1010"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3"/>
  <sheetViews>
    <sheetView tabSelected="1" zoomScale="110" zoomScaleNormal="110" zoomScalePageLayoutView="110" workbookViewId="0">
      <pane xSplit="1" ySplit="4" topLeftCell="B5" activePane="bottomRight" state="frozen"/>
      <selection pane="bottomRight" activeCell="A4" sqref="A4:H12"/>
      <selection pane="bottomLeft" activeCell="A5" sqref="A5"/>
      <selection pane="topRight" activeCell="B1" sqref="B1"/>
    </sheetView>
  </sheetViews>
  <sheetFormatPr defaultColWidth="10.77734375" defaultRowHeight="15.95"/>
  <cols>
    <col min="1" max="1" width="66.33203125" style="36" customWidth="1"/>
    <col min="2" max="2" width="10.33203125" style="36" bestFit="1" customWidth="1"/>
    <col min="3" max="4" width="11.109375" style="36" bestFit="1" customWidth="1"/>
    <col min="5" max="5" width="13.33203125" style="36" bestFit="1" customWidth="1"/>
    <col min="6" max="9" width="11.109375" style="36" bestFit="1" customWidth="1"/>
    <col min="10" max="10" width="10.44140625" style="36" bestFit="1" customWidth="1"/>
    <col min="11" max="11" width="11.33203125" style="36" bestFit="1" customWidth="1"/>
    <col min="12" max="12" width="11.77734375" style="28" bestFit="1" customWidth="1"/>
    <col min="13" max="13" width="12.77734375" style="36" bestFit="1" customWidth="1"/>
    <col min="14" max="14" width="21.6640625" style="28" customWidth="1"/>
    <col min="15" max="15" width="12.109375" style="28" customWidth="1"/>
    <col min="16" max="16384" width="10.77734375" style="28"/>
  </cols>
  <sheetData>
    <row r="1" spans="1:15">
      <c r="A1" s="63" t="s">
        <v>0</v>
      </c>
    </row>
    <row r="2" spans="1:15">
      <c r="A2" s="64"/>
    </row>
    <row r="4" spans="1:15" ht="17.100000000000001">
      <c r="A4" s="42"/>
      <c r="B4" s="43" t="s">
        <v>1</v>
      </c>
      <c r="C4" s="43" t="s">
        <v>2</v>
      </c>
      <c r="D4" s="43" t="s">
        <v>3</v>
      </c>
      <c r="E4" s="27" t="s">
        <v>4</v>
      </c>
      <c r="F4" s="43" t="s">
        <v>5</v>
      </c>
      <c r="G4" s="43" t="s">
        <v>6</v>
      </c>
      <c r="H4" s="43" t="s">
        <v>7</v>
      </c>
      <c r="I4" s="43" t="s">
        <v>8</v>
      </c>
      <c r="J4" s="43" t="s">
        <v>9</v>
      </c>
      <c r="K4" s="43" t="s">
        <v>10</v>
      </c>
      <c r="L4" s="43" t="s">
        <v>11</v>
      </c>
      <c r="M4" s="42" t="s">
        <v>12</v>
      </c>
    </row>
    <row r="5" spans="1:15" ht="17.100000000000001">
      <c r="A5" s="42" t="s">
        <v>13</v>
      </c>
      <c r="B5" s="45"/>
      <c r="C5" s="45"/>
      <c r="D5" s="45"/>
      <c r="E5" s="29"/>
      <c r="F5" s="45"/>
      <c r="G5" s="45"/>
      <c r="H5" s="45"/>
      <c r="I5" s="45"/>
      <c r="J5" s="45"/>
      <c r="K5" s="45"/>
      <c r="M5" s="44" t="s">
        <v>14</v>
      </c>
    </row>
    <row r="6" spans="1:15" s="60" customFormat="1" ht="17.100000000000001">
      <c r="A6" s="57" t="s">
        <v>15</v>
      </c>
      <c r="B6" s="58">
        <v>72199.8</v>
      </c>
      <c r="C6" s="58">
        <v>118489.4</v>
      </c>
      <c r="D6" s="58">
        <v>197322.3</v>
      </c>
      <c r="E6" s="59">
        <v>133028.29999999999</v>
      </c>
      <c r="F6" s="58">
        <v>156776</v>
      </c>
      <c r="G6" s="58">
        <v>145588</v>
      </c>
      <c r="H6" s="58">
        <v>125553.4</v>
      </c>
      <c r="I6" s="58">
        <v>105112.5</v>
      </c>
      <c r="J6" s="58">
        <v>11758.8</v>
      </c>
      <c r="K6" s="58">
        <v>247508.5</v>
      </c>
      <c r="L6" s="60">
        <v>276995.7</v>
      </c>
      <c r="M6" s="57" t="s">
        <v>14</v>
      </c>
    </row>
    <row r="7" spans="1:15" s="56" customFormat="1" ht="17.100000000000001">
      <c r="A7" s="55" t="s">
        <v>16</v>
      </c>
      <c r="B7" s="66">
        <v>4.2800000000000005E-2</v>
      </c>
      <c r="C7" s="66">
        <v>5.1299999999999998E-2</v>
      </c>
      <c r="D7" s="66">
        <v>7.5300000000000006E-2</v>
      </c>
      <c r="E7" s="66">
        <v>3.7900000000000003E-2</v>
      </c>
      <c r="F7" s="66">
        <v>3.2599999999999997E-2</v>
      </c>
      <c r="G7" s="66">
        <v>-8.9200000000000008E-3</v>
      </c>
      <c r="H7" s="66">
        <v>0.12</v>
      </c>
      <c r="I7" s="66">
        <v>-2.7E-4</v>
      </c>
      <c r="J7" s="66">
        <v>0.95400000000000007</v>
      </c>
      <c r="K7" s="66">
        <v>8.2299999999999998E-2</v>
      </c>
      <c r="L7" s="66">
        <v>3.6699999999999997E-2</v>
      </c>
      <c r="M7" s="55" t="s">
        <v>14</v>
      </c>
      <c r="N7" s="99"/>
    </row>
    <row r="8" spans="1:15" s="56" customFormat="1" ht="17.100000000000001">
      <c r="A8" s="55" t="s">
        <v>17</v>
      </c>
      <c r="B8" s="58">
        <v>12109.8</v>
      </c>
      <c r="C8" s="58">
        <v>22055.7</v>
      </c>
      <c r="D8" s="58">
        <v>39440.400000000001</v>
      </c>
      <c r="E8" s="59">
        <v>20359</v>
      </c>
      <c r="F8" s="58">
        <v>16579</v>
      </c>
      <c r="G8" s="58">
        <v>20164</v>
      </c>
      <c r="H8" s="58">
        <v>28101.8</v>
      </c>
      <c r="I8" s="58">
        <v>20605.3</v>
      </c>
      <c r="J8" s="58">
        <v>2222.5</v>
      </c>
      <c r="K8" s="58">
        <v>43613.1</v>
      </c>
      <c r="L8" s="58">
        <v>48846.1</v>
      </c>
      <c r="M8" s="55" t="s">
        <v>14</v>
      </c>
    </row>
    <row r="9" spans="1:15" s="61" customFormat="1" ht="17.100000000000001">
      <c r="A9" s="55" t="s">
        <v>18</v>
      </c>
      <c r="B9" s="58">
        <v>4310.8</v>
      </c>
      <c r="C9" s="58">
        <v>4423.6000000000004</v>
      </c>
      <c r="D9" s="58">
        <v>7084.5</v>
      </c>
      <c r="E9" s="59">
        <v>3746.4</v>
      </c>
      <c r="F9" s="58">
        <v>8000</v>
      </c>
      <c r="G9" s="58">
        <v>7300</v>
      </c>
      <c r="H9" s="58">
        <v>6429.3</v>
      </c>
      <c r="I9" s="58">
        <v>6240.7</v>
      </c>
      <c r="J9" s="58">
        <v>1378.1</v>
      </c>
      <c r="K9" s="58">
        <v>9305.2000000000007</v>
      </c>
      <c r="L9" s="58">
        <v>13945.7</v>
      </c>
      <c r="M9" s="55" t="s">
        <v>14</v>
      </c>
    </row>
    <row r="10" spans="1:15" s="56" customFormat="1" ht="17.100000000000001">
      <c r="A10" s="55" t="s">
        <v>19</v>
      </c>
      <c r="B10" s="58">
        <v>6624.6</v>
      </c>
      <c r="C10" s="58">
        <v>11642.7</v>
      </c>
      <c r="D10" s="58">
        <v>15563.2</v>
      </c>
      <c r="E10" s="59">
        <v>8447.4</v>
      </c>
      <c r="F10" s="58">
        <v>5052</v>
      </c>
      <c r="G10" s="58">
        <v>10703</v>
      </c>
      <c r="H10" s="58">
        <v>7540</v>
      </c>
      <c r="I10" s="58">
        <v>6656.8</v>
      </c>
      <c r="J10" s="58">
        <v>-1606.3</v>
      </c>
      <c r="K10" s="58">
        <v>17886.7</v>
      </c>
      <c r="L10" s="60">
        <v>15569.5</v>
      </c>
      <c r="M10" s="55" t="s">
        <v>14</v>
      </c>
    </row>
    <row r="11" spans="1:15" s="56" customFormat="1" ht="17.100000000000001">
      <c r="A11" s="55" t="s">
        <v>20</v>
      </c>
      <c r="B11" s="58">
        <v>9513.7000000000007</v>
      </c>
      <c r="C11" s="58">
        <v>15948.6</v>
      </c>
      <c r="D11" s="58">
        <v>20805.7</v>
      </c>
      <c r="E11" s="59">
        <v>13810</v>
      </c>
      <c r="F11" s="58">
        <v>13505</v>
      </c>
      <c r="G11" s="58">
        <v>22211</v>
      </c>
      <c r="H11" s="58">
        <v>11883.4</v>
      </c>
      <c r="I11" s="58">
        <v>10186.9</v>
      </c>
      <c r="J11" s="58">
        <v>1150</v>
      </c>
      <c r="K11" s="58">
        <v>32334.7</v>
      </c>
      <c r="L11" s="62">
        <v>30446.7</v>
      </c>
      <c r="M11" s="55" t="s">
        <v>14</v>
      </c>
    </row>
    <row r="12" spans="1:15" s="56" customFormat="1" ht="17.100000000000001">
      <c r="A12" s="55" t="s">
        <v>21</v>
      </c>
      <c r="B12" s="58">
        <v>4268.7</v>
      </c>
      <c r="C12" s="58">
        <v>10350.6</v>
      </c>
      <c r="D12" s="58">
        <v>12638.1</v>
      </c>
      <c r="E12" s="59">
        <v>4191.8999999999996</v>
      </c>
      <c r="F12" s="58">
        <v>7602</v>
      </c>
      <c r="G12" s="58">
        <v>-3864</v>
      </c>
      <c r="H12" s="58">
        <v>5529.8</v>
      </c>
      <c r="I12" s="58">
        <v>5950.7</v>
      </c>
      <c r="J12" s="58">
        <v>-2237.5570000000002</v>
      </c>
      <c r="K12" s="58">
        <v>16422.5</v>
      </c>
      <c r="L12" s="60">
        <v>13962.5</v>
      </c>
      <c r="M12" s="55" t="s">
        <v>14</v>
      </c>
    </row>
    <row r="14" spans="1:15">
      <c r="A14" s="48"/>
      <c r="B14" s="46"/>
      <c r="C14" s="46"/>
      <c r="D14" s="46"/>
      <c r="E14" s="30"/>
      <c r="F14" s="46"/>
      <c r="G14" s="46"/>
      <c r="H14" s="46"/>
      <c r="I14" s="46"/>
      <c r="J14" s="46"/>
      <c r="K14" s="46"/>
      <c r="L14" s="47"/>
      <c r="M14" s="48"/>
    </row>
    <row r="15" spans="1:15" ht="18.95">
      <c r="A15" s="42" t="s">
        <v>22</v>
      </c>
      <c r="B15" s="46"/>
      <c r="C15" s="46"/>
      <c r="D15" s="46"/>
      <c r="E15" s="30"/>
      <c r="F15" s="46"/>
      <c r="G15" s="46"/>
      <c r="H15" s="46"/>
      <c r="I15" s="46"/>
      <c r="J15" s="46"/>
      <c r="K15" s="46"/>
      <c r="L15" s="47"/>
      <c r="M15" s="49"/>
    </row>
    <row r="16" spans="1:15" s="60" customFormat="1" ht="17.100000000000001">
      <c r="A16" s="65" t="s">
        <v>23</v>
      </c>
      <c r="B16" s="58">
        <v>13536.3</v>
      </c>
      <c r="C16" s="58">
        <v>8625.1</v>
      </c>
      <c r="D16" s="58">
        <v>11425.3</v>
      </c>
      <c r="E16" s="59">
        <v>14917.1</v>
      </c>
      <c r="F16" s="58">
        <v>8934</v>
      </c>
      <c r="G16" s="58">
        <v>11212</v>
      </c>
      <c r="H16" s="58">
        <v>18887.7</v>
      </c>
      <c r="I16" s="58">
        <v>9641.7000000000007</v>
      </c>
      <c r="J16" s="58">
        <v>3367.9</v>
      </c>
      <c r="K16" s="58">
        <v>20242.7</v>
      </c>
      <c r="L16" s="60">
        <v>16601.8</v>
      </c>
      <c r="M16" s="57" t="s">
        <v>14</v>
      </c>
      <c r="O16" s="43"/>
    </row>
    <row r="17" spans="1:16" s="60" customFormat="1" ht="17.100000000000001">
      <c r="A17" s="65" t="s">
        <v>24</v>
      </c>
      <c r="B17" s="58">
        <v>13685.2</v>
      </c>
      <c r="C17" s="58">
        <v>17956</v>
      </c>
      <c r="D17" s="58">
        <v>85524.7</v>
      </c>
      <c r="E17" s="59">
        <v>31481.7</v>
      </c>
      <c r="F17" s="58">
        <v>36901</v>
      </c>
      <c r="G17" s="58">
        <v>36523</v>
      </c>
      <c r="H17" s="58">
        <v>28702.9</v>
      </c>
      <c r="I17" s="58">
        <v>47311.4</v>
      </c>
      <c r="J17" s="58">
        <v>10027</v>
      </c>
      <c r="K17" s="58">
        <v>91453.9</v>
      </c>
      <c r="L17" s="60">
        <v>105295.4</v>
      </c>
      <c r="M17" s="57" t="s">
        <v>14</v>
      </c>
      <c r="O17" s="43"/>
    </row>
    <row r="18" spans="1:16" s="60" customFormat="1" ht="17.100000000000001">
      <c r="A18" s="57" t="s">
        <v>25</v>
      </c>
      <c r="B18" s="58">
        <v>76464.899999999994</v>
      </c>
      <c r="C18" s="58">
        <v>232328.3</v>
      </c>
      <c r="D18" s="58">
        <v>306922.40000000002</v>
      </c>
      <c r="E18" s="59">
        <v>115632.8</v>
      </c>
      <c r="F18" s="58">
        <v>257808</v>
      </c>
      <c r="G18" s="58">
        <v>212482</v>
      </c>
      <c r="H18" s="58">
        <v>170028</v>
      </c>
      <c r="I18" s="58">
        <v>165210.79999999999</v>
      </c>
      <c r="J18" s="58">
        <v>28655.4</v>
      </c>
      <c r="K18" s="58">
        <v>437221.4</v>
      </c>
      <c r="L18" s="60">
        <v>504613.6</v>
      </c>
      <c r="M18" s="57" t="s">
        <v>14</v>
      </c>
      <c r="O18" s="43"/>
    </row>
    <row r="19" spans="1:16" s="60" customFormat="1" ht="17.100000000000001">
      <c r="A19" s="57" t="s">
        <v>26</v>
      </c>
      <c r="B19" s="94">
        <v>42</v>
      </c>
      <c r="C19" s="58">
        <v>59200.3</v>
      </c>
      <c r="D19" s="58">
        <v>25258.2</v>
      </c>
      <c r="E19" s="59">
        <v>12879.4</v>
      </c>
      <c r="F19" s="58">
        <v>12575</v>
      </c>
      <c r="G19" s="58">
        <v>10544</v>
      </c>
      <c r="H19" s="58">
        <v>36073.5</v>
      </c>
      <c r="I19" s="58">
        <v>2875.5</v>
      </c>
      <c r="J19" s="3">
        <v>9418.3189999999995</v>
      </c>
      <c r="K19" s="58">
        <v>5188.1000000000004</v>
      </c>
      <c r="L19" s="60">
        <v>8056</v>
      </c>
      <c r="M19" s="57" t="s">
        <v>14</v>
      </c>
      <c r="O19" s="43"/>
    </row>
    <row r="20" spans="1:16" ht="18.95">
      <c r="A20" s="44"/>
      <c r="B20" s="46"/>
      <c r="C20" s="46"/>
      <c r="D20" s="46"/>
      <c r="E20" s="29"/>
      <c r="F20" s="46"/>
      <c r="G20" s="46"/>
      <c r="H20" s="46"/>
      <c r="I20" s="46"/>
      <c r="J20" s="46"/>
      <c r="K20" s="46"/>
      <c r="L20" s="47"/>
      <c r="M20" s="50"/>
      <c r="O20" s="43"/>
      <c r="P20" s="60"/>
    </row>
    <row r="21" spans="1:16" ht="17.100000000000001">
      <c r="A21" s="51" t="s">
        <v>27</v>
      </c>
      <c r="B21" s="46"/>
      <c r="C21" s="46"/>
      <c r="D21" s="46"/>
      <c r="E21" s="29"/>
      <c r="F21" s="46"/>
      <c r="G21" s="46"/>
      <c r="H21" s="46"/>
      <c r="I21" s="46"/>
      <c r="J21" s="46"/>
      <c r="K21" s="46"/>
      <c r="M21" s="51"/>
      <c r="O21" s="43"/>
      <c r="P21" s="60"/>
    </row>
    <row r="22" spans="1:16" ht="17.100000000000001">
      <c r="A22" s="44" t="s">
        <v>28</v>
      </c>
      <c r="B22" s="66">
        <f>+B8/B6</f>
        <v>0.16772622638843873</v>
      </c>
      <c r="C22" s="66">
        <f>+C8/C6</f>
        <v>0.18614070119352449</v>
      </c>
      <c r="D22" s="66">
        <f t="shared" ref="D22:L22" si="0">+D8/D6</f>
        <v>0.199878067506815</v>
      </c>
      <c r="E22" s="66">
        <f t="shared" si="0"/>
        <v>0.1530426232613662</v>
      </c>
      <c r="F22" s="66">
        <f t="shared" si="0"/>
        <v>0.10574960453130582</v>
      </c>
      <c r="G22" s="66">
        <f t="shared" si="0"/>
        <v>0.13850042585927411</v>
      </c>
      <c r="H22" s="66">
        <f t="shared" si="0"/>
        <v>0.22382348865104409</v>
      </c>
      <c r="I22" s="66">
        <f t="shared" si="0"/>
        <v>0.19603091925318111</v>
      </c>
      <c r="J22" s="66">
        <f t="shared" si="0"/>
        <v>0.18900738170561623</v>
      </c>
      <c r="K22" s="66">
        <f t="shared" si="0"/>
        <v>0.17620849384970616</v>
      </c>
      <c r="L22" s="66">
        <f t="shared" si="0"/>
        <v>0.17634244863728929</v>
      </c>
      <c r="M22" s="57" t="s">
        <v>29</v>
      </c>
      <c r="O22" s="27"/>
      <c r="P22" s="60"/>
    </row>
    <row r="23" spans="1:16" ht="17.100000000000001">
      <c r="A23" s="44" t="s">
        <v>30</v>
      </c>
      <c r="B23" s="66">
        <f>+B10/B6</f>
        <v>9.1753716769298527E-2</v>
      </c>
      <c r="C23" s="66">
        <f>+C10/C6</f>
        <v>9.8259422361831536E-2</v>
      </c>
      <c r="D23" s="66">
        <f t="shared" ref="D23:L23" si="1">+D10/D6</f>
        <v>7.8871977470361954E-2</v>
      </c>
      <c r="E23" s="66">
        <f t="shared" si="1"/>
        <v>6.3500773895479382E-2</v>
      </c>
      <c r="F23" s="66">
        <f t="shared" si="1"/>
        <v>3.2224320048987093E-2</v>
      </c>
      <c r="G23" s="66">
        <f t="shared" si="1"/>
        <v>7.3515674368766659E-2</v>
      </c>
      <c r="H23" s="66">
        <f t="shared" si="1"/>
        <v>6.005412836291172E-2</v>
      </c>
      <c r="I23" s="66">
        <f t="shared" si="1"/>
        <v>6.3330241408015228E-2</v>
      </c>
      <c r="J23" s="66">
        <f t="shared" si="1"/>
        <v>-0.13660407524577339</v>
      </c>
      <c r="K23" s="66">
        <f t="shared" si="1"/>
        <v>7.2267013052077E-2</v>
      </c>
      <c r="L23" s="66">
        <f t="shared" si="1"/>
        <v>5.6208453777441311E-2</v>
      </c>
      <c r="M23" s="57" t="s">
        <v>29</v>
      </c>
      <c r="O23" s="43"/>
      <c r="P23" s="60"/>
    </row>
    <row r="24" spans="1:16" ht="17.100000000000001">
      <c r="A24" s="44" t="s">
        <v>31</v>
      </c>
      <c r="B24" s="66">
        <f>+B10/B18</f>
        <v>8.6635828988202435E-2</v>
      </c>
      <c r="C24" s="66">
        <f t="shared" ref="C24:L24" si="2">+C10/C18</f>
        <v>5.0113137314739535E-2</v>
      </c>
      <c r="D24" s="66">
        <f t="shared" si="2"/>
        <v>5.0707279755403969E-2</v>
      </c>
      <c r="E24" s="66">
        <f t="shared" si="2"/>
        <v>7.3053666433745432E-2</v>
      </c>
      <c r="F24" s="66">
        <f t="shared" si="2"/>
        <v>1.9595978402532115E-2</v>
      </c>
      <c r="G24" s="66">
        <f t="shared" si="2"/>
        <v>5.0371325571107198E-2</v>
      </c>
      <c r="H24" s="66">
        <f t="shared" si="2"/>
        <v>4.4345637189168841E-2</v>
      </c>
      <c r="I24" s="66">
        <f t="shared" si="2"/>
        <v>4.0292765364007686E-2</v>
      </c>
      <c r="J24" s="66">
        <f t="shared" si="2"/>
        <v>-5.6055752144447461E-2</v>
      </c>
      <c r="K24" s="66">
        <f t="shared" si="2"/>
        <v>4.0909937162270649E-2</v>
      </c>
      <c r="L24" s="66">
        <f t="shared" si="2"/>
        <v>3.0854301192040804E-2</v>
      </c>
      <c r="M24" s="57" t="s">
        <v>29</v>
      </c>
      <c r="O24" s="43"/>
      <c r="P24" s="60"/>
    </row>
    <row r="25" spans="1:16">
      <c r="A25" s="44"/>
      <c r="B25" s="66"/>
      <c r="C25" s="66"/>
      <c r="D25" s="66"/>
      <c r="E25" s="66"/>
      <c r="F25" s="66"/>
      <c r="G25" s="66"/>
      <c r="H25" s="66"/>
      <c r="I25" s="66"/>
      <c r="J25" s="66"/>
      <c r="K25" s="66"/>
      <c r="L25" s="66"/>
      <c r="M25" s="44"/>
      <c r="O25" s="43"/>
      <c r="P25" s="60"/>
    </row>
    <row r="26" spans="1:16" ht="17.100000000000001">
      <c r="A26" s="51" t="s">
        <v>32</v>
      </c>
      <c r="B26" s="52"/>
      <c r="C26" s="52"/>
      <c r="D26" s="52"/>
      <c r="E26" s="31"/>
      <c r="F26" s="52"/>
      <c r="G26" s="52"/>
      <c r="H26" s="52"/>
      <c r="I26" s="52"/>
      <c r="J26" s="52"/>
      <c r="K26" s="52"/>
      <c r="M26" s="51"/>
      <c r="O26" s="43"/>
      <c r="P26" s="60"/>
    </row>
    <row r="27" spans="1:16" s="60" customFormat="1" ht="17.100000000000001">
      <c r="A27" s="57" t="s">
        <v>33</v>
      </c>
      <c r="B27" s="68">
        <v>91231</v>
      </c>
      <c r="C27" s="68">
        <v>129932</v>
      </c>
      <c r="D27" s="68">
        <v>289321</v>
      </c>
      <c r="E27" s="59">
        <v>235915</v>
      </c>
      <c r="F27" s="68">
        <v>202000</v>
      </c>
      <c r="G27" s="68">
        <v>180000</v>
      </c>
      <c r="H27" s="68">
        <v>211915</v>
      </c>
      <c r="I27" s="58">
        <v>137250</v>
      </c>
      <c r="J27" s="58">
        <v>37543</v>
      </c>
      <c r="K27" s="58">
        <v>364445</v>
      </c>
      <c r="L27" s="60">
        <v>642292</v>
      </c>
      <c r="M27" s="57" t="s">
        <v>14</v>
      </c>
      <c r="P27" s="101"/>
    </row>
    <row r="28" spans="1:16">
      <c r="A28" s="32" t="s">
        <v>34</v>
      </c>
      <c r="B28" s="53">
        <v>1903</v>
      </c>
      <c r="C28" s="53">
        <v>2359</v>
      </c>
      <c r="D28" s="53">
        <v>2526</v>
      </c>
      <c r="E28" s="31">
        <v>4682</v>
      </c>
      <c r="F28" s="53">
        <v>6429</v>
      </c>
      <c r="G28" s="53">
        <v>7793</v>
      </c>
      <c r="H28" s="53">
        <v>4999</v>
      </c>
      <c r="I28" s="41">
        <v>5556</v>
      </c>
      <c r="J28" s="39">
        <v>83</v>
      </c>
      <c r="K28" s="41">
        <v>10213</v>
      </c>
      <c r="L28" s="32">
        <v>10126</v>
      </c>
      <c r="M28" s="36" t="s">
        <v>35</v>
      </c>
    </row>
    <row r="29" spans="1:16">
      <c r="A29" s="33" t="s">
        <v>36</v>
      </c>
      <c r="B29" s="54">
        <v>1.2E-2</v>
      </c>
      <c r="C29" s="69">
        <v>1.9E-2</v>
      </c>
      <c r="D29" s="54">
        <v>1.9E-2</v>
      </c>
      <c r="E29" s="70">
        <v>0.128</v>
      </c>
      <c r="F29" s="69">
        <v>0.14699999999999999</v>
      </c>
      <c r="G29" s="69">
        <v>0.17899999999999999</v>
      </c>
      <c r="H29" s="69">
        <v>8.5999999999999993E-2</v>
      </c>
      <c r="I29" s="33">
        <v>9.8000000000000004E-2</v>
      </c>
      <c r="J29" s="33">
        <v>2E-3</v>
      </c>
      <c r="K29" s="33">
        <v>0.13500000000000001</v>
      </c>
      <c r="L29" s="71">
        <v>0.02</v>
      </c>
      <c r="M29" s="34" t="s">
        <v>37</v>
      </c>
    </row>
    <row r="30" spans="1:16" s="60" customFormat="1" ht="17.100000000000001">
      <c r="A30" s="57" t="s">
        <v>38</v>
      </c>
      <c r="B30" s="58">
        <v>36920</v>
      </c>
      <c r="C30" s="67">
        <v>59703.5</v>
      </c>
      <c r="D30" s="67">
        <v>68809.539999999994</v>
      </c>
      <c r="E30" s="59">
        <v>29365.4</v>
      </c>
      <c r="F30" s="67">
        <v>44113.95</v>
      </c>
      <c r="G30" s="67">
        <v>55530.36</v>
      </c>
      <c r="H30" s="67">
        <v>52019.94</v>
      </c>
      <c r="I30" s="67">
        <v>38048.19</v>
      </c>
      <c r="J30" s="67">
        <v>58232.91</v>
      </c>
      <c r="K30" s="58">
        <v>188170.27</v>
      </c>
      <c r="L30" s="60">
        <v>86628.86</v>
      </c>
      <c r="M30" s="57" t="s">
        <v>14</v>
      </c>
      <c r="O30" s="43"/>
    </row>
    <row r="31" spans="1:16" s="60" customFormat="1">
      <c r="A31" s="57"/>
      <c r="B31" s="58"/>
      <c r="C31" s="67"/>
      <c r="D31" s="67"/>
      <c r="E31" s="59"/>
      <c r="F31" s="67"/>
      <c r="G31" s="67"/>
      <c r="H31" s="67"/>
      <c r="I31" s="67"/>
      <c r="J31" s="67"/>
      <c r="K31" s="58"/>
      <c r="M31" s="57"/>
      <c r="O31" s="43"/>
    </row>
    <row r="32" spans="1:16">
      <c r="A32" s="32"/>
      <c r="B32" s="98"/>
      <c r="C32" s="37"/>
      <c r="D32" s="37"/>
      <c r="E32" s="37"/>
      <c r="F32" s="41"/>
      <c r="G32" s="38"/>
      <c r="H32" s="37"/>
      <c r="I32" s="37"/>
      <c r="J32" s="37"/>
      <c r="K32" s="37"/>
      <c r="O32" s="43"/>
      <c r="P32" s="60"/>
    </row>
    <row r="33" spans="1:16">
      <c r="A33" s="36" t="s">
        <v>39</v>
      </c>
      <c r="B33" s="98"/>
      <c r="D33" s="38"/>
      <c r="E33" s="38"/>
      <c r="F33" s="38"/>
      <c r="H33" s="39"/>
      <c r="O33" s="43"/>
      <c r="P33" s="60"/>
    </row>
    <row r="34" spans="1:16">
      <c r="A34" s="36" t="s">
        <v>40</v>
      </c>
      <c r="B34" s="40"/>
      <c r="D34" s="38"/>
      <c r="E34" s="38"/>
      <c r="F34" s="38"/>
      <c r="H34" s="39"/>
      <c r="O34" s="43"/>
      <c r="P34" s="60"/>
    </row>
    <row r="35" spans="1:16">
      <c r="A35" s="36" t="s">
        <v>41</v>
      </c>
      <c r="B35" s="40"/>
      <c r="O35" s="43"/>
      <c r="P35" s="60"/>
    </row>
    <row r="36" spans="1:16">
      <c r="A36" s="36" t="s">
        <v>42</v>
      </c>
      <c r="B36" s="40"/>
      <c r="O36" s="43"/>
      <c r="P36" s="60"/>
    </row>
    <row r="37" spans="1:16">
      <c r="A37" s="36" t="s">
        <v>43</v>
      </c>
      <c r="B37" s="40"/>
      <c r="P37" s="101"/>
    </row>
    <row r="38" spans="1:16">
      <c r="B38" s="40"/>
    </row>
    <row r="39" spans="1:16">
      <c r="B39" s="98"/>
    </row>
    <row r="40" spans="1:16">
      <c r="B40" s="40"/>
    </row>
    <row r="43" spans="1:16">
      <c r="A43" s="105">
        <v>44013</v>
      </c>
    </row>
    <row r="45" spans="1:16">
      <c r="B45" s="40"/>
    </row>
    <row r="46" spans="1:16">
      <c r="B46" s="40"/>
    </row>
    <row r="47" spans="1:16">
      <c r="B47" s="40"/>
    </row>
    <row r="48" spans="1:16">
      <c r="B48" s="40"/>
    </row>
    <row r="49" spans="2:2">
      <c r="B49" s="40"/>
    </row>
    <row r="50" spans="2:2">
      <c r="B50" s="40"/>
    </row>
    <row r="51" spans="2:2">
      <c r="B51" s="40"/>
    </row>
    <row r="52" spans="2:2">
      <c r="B52" s="40"/>
    </row>
    <row r="53" spans="2:2">
      <c r="B53" s="40"/>
    </row>
  </sheetData>
  <sortState xmlns:xlrd2="http://schemas.microsoft.com/office/spreadsheetml/2017/richdata2" ref="O29:P35">
    <sortCondition descending="1" ref="P29:P35"/>
  </sortState>
  <hyperlinks>
    <hyperlink ref="M29" r:id="rId1" location="autosalesE" xr:uid="{00000000-0004-0000-0000-000000000000}"/>
  </hyperlinks>
  <pageMargins left="0.7" right="0.7" top="0.75" bottom="0.75" header="0.3" footer="0.3"/>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9"/>
  <sheetViews>
    <sheetView workbookViewId="0">
      <selection activeCell="A34" sqref="A34:XFD34"/>
    </sheetView>
  </sheetViews>
  <sheetFormatPr defaultColWidth="10.77734375" defaultRowHeight="15.95"/>
  <cols>
    <col min="1" max="1" width="5.6640625" customWidth="1"/>
    <col min="2" max="2" width="39" customWidth="1"/>
    <col min="3" max="5" width="12.109375" customWidth="1"/>
  </cols>
  <sheetData>
    <row r="1" spans="1:9">
      <c r="A1" s="4" t="s">
        <v>44</v>
      </c>
    </row>
    <row r="3" spans="1:9">
      <c r="A3" s="4" t="s">
        <v>45</v>
      </c>
    </row>
    <row r="4" spans="1:9">
      <c r="C4">
        <v>2011</v>
      </c>
      <c r="D4">
        <v>2012</v>
      </c>
      <c r="E4">
        <v>2013</v>
      </c>
      <c r="F4">
        <v>2014</v>
      </c>
      <c r="G4">
        <v>2015</v>
      </c>
      <c r="H4">
        <v>2016</v>
      </c>
      <c r="I4">
        <v>2017</v>
      </c>
    </row>
    <row r="5" spans="1:9">
      <c r="B5" t="s">
        <v>46</v>
      </c>
      <c r="C5">
        <v>0</v>
      </c>
      <c r="D5" t="s">
        <v>47</v>
      </c>
      <c r="E5" t="s">
        <v>47</v>
      </c>
      <c r="F5" s="6">
        <v>16698</v>
      </c>
      <c r="G5" s="6">
        <v>25202</v>
      </c>
      <c r="H5" s="6">
        <v>29421</v>
      </c>
      <c r="I5" s="8">
        <v>27060</v>
      </c>
    </row>
    <row r="6" spans="1:9">
      <c r="B6" t="s">
        <v>48</v>
      </c>
      <c r="C6" s="6">
        <v>6270</v>
      </c>
      <c r="D6" s="6">
        <v>8598</v>
      </c>
      <c r="E6" s="6">
        <v>8483</v>
      </c>
      <c r="F6" s="6">
        <v>8133</v>
      </c>
      <c r="G6" s="6">
        <v>7721</v>
      </c>
      <c r="H6" s="6">
        <v>6558</v>
      </c>
      <c r="I6" s="6">
        <v>4810</v>
      </c>
    </row>
    <row r="7" spans="1:9">
      <c r="B7" t="s">
        <v>49</v>
      </c>
      <c r="C7" s="6">
        <v>5700</v>
      </c>
      <c r="D7" s="6">
        <v>6002</v>
      </c>
      <c r="E7" s="6">
        <v>6300</v>
      </c>
      <c r="F7" s="6">
        <v>5904</v>
      </c>
      <c r="G7" s="6">
        <v>4990</v>
      </c>
      <c r="H7" s="6">
        <v>4149</v>
      </c>
      <c r="I7" s="6">
        <v>3127</v>
      </c>
    </row>
    <row r="8" spans="1:9">
      <c r="B8" t="s">
        <v>50</v>
      </c>
      <c r="C8" s="6">
        <v>3903</v>
      </c>
      <c r="D8" s="6">
        <v>8208</v>
      </c>
      <c r="E8" s="6">
        <v>9762</v>
      </c>
      <c r="F8" s="6">
        <v>8647</v>
      </c>
      <c r="G8" s="6">
        <v>8146</v>
      </c>
      <c r="H8" s="6">
        <v>3950</v>
      </c>
      <c r="I8" s="6">
        <v>3355</v>
      </c>
    </row>
    <row r="9" spans="1:9">
      <c r="B9" t="s">
        <v>51</v>
      </c>
      <c r="C9" s="6">
        <v>11299</v>
      </c>
      <c r="D9" s="6">
        <v>11098</v>
      </c>
      <c r="E9" s="6">
        <v>10932</v>
      </c>
      <c r="F9" s="6">
        <v>9744</v>
      </c>
      <c r="G9" s="6">
        <v>9292</v>
      </c>
      <c r="H9" s="6">
        <v>12918</v>
      </c>
      <c r="I9" s="6">
        <v>9276</v>
      </c>
    </row>
    <row r="10" spans="1:9">
      <c r="B10" t="s">
        <v>52</v>
      </c>
      <c r="C10" s="6">
        <v>5481</v>
      </c>
      <c r="D10" s="6">
        <v>5183</v>
      </c>
      <c r="E10" s="6">
        <v>5434</v>
      </c>
      <c r="F10" s="6">
        <v>4329</v>
      </c>
      <c r="G10" s="6">
        <v>3611</v>
      </c>
      <c r="H10" s="6">
        <v>3834</v>
      </c>
      <c r="I10" s="6">
        <v>2721</v>
      </c>
    </row>
    <row r="11" spans="1:9">
      <c r="B11" t="s">
        <v>53</v>
      </c>
      <c r="C11" s="6">
        <v>9568</v>
      </c>
      <c r="D11" s="6">
        <v>8345</v>
      </c>
      <c r="E11" s="6">
        <v>10727</v>
      </c>
      <c r="F11" s="6">
        <v>8559</v>
      </c>
      <c r="G11" s="6">
        <v>7165</v>
      </c>
      <c r="H11" s="6">
        <v>5514</v>
      </c>
      <c r="I11" s="6">
        <v>4094</v>
      </c>
    </row>
    <row r="12" spans="1:9">
      <c r="B12" t="s">
        <v>54</v>
      </c>
      <c r="C12" s="6">
        <v>5665</v>
      </c>
      <c r="D12" s="6">
        <v>8521</v>
      </c>
      <c r="E12" s="6">
        <v>8032</v>
      </c>
      <c r="F12" s="6">
        <v>7595</v>
      </c>
      <c r="G12" s="6">
        <v>6152</v>
      </c>
      <c r="H12" s="15">
        <v>2571</v>
      </c>
      <c r="I12" s="6">
        <v>1839</v>
      </c>
    </row>
    <row r="13" spans="1:9">
      <c r="B13" t="s">
        <v>55</v>
      </c>
      <c r="C13" s="6">
        <v>12258</v>
      </c>
      <c r="D13" s="6">
        <v>12587</v>
      </c>
      <c r="E13" s="6">
        <v>13303</v>
      </c>
      <c r="F13" s="6">
        <v>24524</v>
      </c>
      <c r="G13" s="6">
        <v>21934</v>
      </c>
      <c r="H13" s="6">
        <v>18803</v>
      </c>
      <c r="I13" s="6">
        <v>15888</v>
      </c>
    </row>
    <row r="14" spans="1:9">
      <c r="B14" t="s">
        <v>56</v>
      </c>
      <c r="C14" s="6">
        <v>6879</v>
      </c>
      <c r="D14" s="6">
        <v>7614</v>
      </c>
      <c r="E14" s="6">
        <v>5421</v>
      </c>
      <c r="F14" s="6">
        <v>5740</v>
      </c>
      <c r="G14" s="6">
        <v>4985</v>
      </c>
      <c r="H14" s="6">
        <v>4403</v>
      </c>
      <c r="I14" s="8">
        <v>6731</v>
      </c>
    </row>
    <row r="15" spans="1:9">
      <c r="C15" s="6"/>
      <c r="D15" s="6"/>
      <c r="E15" s="6"/>
      <c r="F15" s="6"/>
      <c r="G15" s="6"/>
      <c r="H15" s="6"/>
      <c r="I15" s="8"/>
    </row>
    <row r="16" spans="1:9">
      <c r="F16" s="6"/>
      <c r="G16" s="6"/>
    </row>
    <row r="17" spans="1:10">
      <c r="B17" t="s">
        <v>57</v>
      </c>
      <c r="F17" s="6"/>
      <c r="G17" s="6"/>
    </row>
    <row r="18" spans="1:10">
      <c r="B18" t="s">
        <v>58</v>
      </c>
      <c r="F18" s="6"/>
      <c r="G18" s="6"/>
    </row>
    <row r="19" spans="1:10">
      <c r="B19" t="s">
        <v>59</v>
      </c>
      <c r="F19" s="6"/>
      <c r="G19" s="6"/>
    </row>
    <row r="20" spans="1:10">
      <c r="F20" s="6"/>
      <c r="G20" s="6"/>
    </row>
    <row r="21" spans="1:10">
      <c r="F21" s="6"/>
      <c r="G21" s="6"/>
    </row>
    <row r="22" spans="1:10">
      <c r="A22" s="4" t="s">
        <v>60</v>
      </c>
      <c r="F22" s="6"/>
      <c r="G22" s="6"/>
    </row>
    <row r="23" spans="1:10">
      <c r="C23" s="106" t="s">
        <v>61</v>
      </c>
      <c r="D23" s="106"/>
      <c r="E23" s="106">
        <v>2017</v>
      </c>
      <c r="F23" s="106"/>
      <c r="G23" s="6"/>
      <c r="H23" s="96"/>
      <c r="I23" s="96"/>
    </row>
    <row r="24" spans="1:10">
      <c r="C24" t="s">
        <v>62</v>
      </c>
      <c r="D24" t="s">
        <v>63</v>
      </c>
      <c r="E24" t="s">
        <v>62</v>
      </c>
      <c r="F24" s="6" t="s">
        <v>63</v>
      </c>
      <c r="G24" s="6"/>
      <c r="H24" s="96"/>
      <c r="I24" s="96"/>
    </row>
    <row r="25" spans="1:10">
      <c r="B25" t="s">
        <v>64</v>
      </c>
      <c r="C25" s="6">
        <v>84200</v>
      </c>
      <c r="D25" s="6">
        <v>84200</v>
      </c>
      <c r="E25" s="6">
        <v>80700</v>
      </c>
      <c r="F25" s="6">
        <v>80700</v>
      </c>
      <c r="G25" s="6"/>
      <c r="H25" s="97"/>
      <c r="I25" s="97"/>
      <c r="J25" s="96"/>
    </row>
    <row r="26" spans="1:10">
      <c r="B26" t="s">
        <v>65</v>
      </c>
      <c r="C26" s="6">
        <v>90700</v>
      </c>
      <c r="D26" s="6">
        <v>90700</v>
      </c>
      <c r="E26" s="6">
        <v>90700</v>
      </c>
      <c r="F26" s="8">
        <v>87743</v>
      </c>
      <c r="G26" s="6"/>
      <c r="H26" s="97"/>
      <c r="I26" s="97"/>
      <c r="J26" s="96"/>
    </row>
    <row r="27" spans="1:10">
      <c r="B27" t="s">
        <v>66</v>
      </c>
      <c r="C27" s="6">
        <v>69225</v>
      </c>
      <c r="D27" s="6">
        <v>63444</v>
      </c>
      <c r="E27" s="6">
        <v>69750</v>
      </c>
      <c r="F27" s="6">
        <v>62719</v>
      </c>
      <c r="G27" s="6"/>
      <c r="H27" s="97"/>
      <c r="I27" s="97"/>
    </row>
    <row r="28" spans="1:10">
      <c r="B28" t="s">
        <v>67</v>
      </c>
      <c r="C28" s="6">
        <v>82425</v>
      </c>
      <c r="D28" s="6">
        <v>74149</v>
      </c>
      <c r="E28" s="6">
        <v>83450</v>
      </c>
      <c r="F28" s="6">
        <v>73920</v>
      </c>
      <c r="G28" s="6"/>
      <c r="H28" s="97"/>
      <c r="I28" s="97"/>
      <c r="J28" s="96"/>
    </row>
    <row r="29" spans="1:10">
      <c r="B29" t="s">
        <v>68</v>
      </c>
      <c r="C29" s="6">
        <v>82295</v>
      </c>
      <c r="D29" s="6">
        <v>73942</v>
      </c>
      <c r="E29" s="6">
        <v>82495</v>
      </c>
      <c r="F29" s="6">
        <v>70351</v>
      </c>
      <c r="G29" s="6"/>
      <c r="H29" s="97"/>
      <c r="I29" s="97"/>
    </row>
    <row r="30" spans="1:10">
      <c r="B30" t="s">
        <v>69</v>
      </c>
      <c r="C30" s="6">
        <v>75395</v>
      </c>
      <c r="D30" s="6">
        <v>69438</v>
      </c>
      <c r="E30" s="6">
        <v>75395</v>
      </c>
      <c r="F30" s="6">
        <v>69582</v>
      </c>
      <c r="G30" s="6"/>
      <c r="H30" s="97"/>
      <c r="I30" s="97"/>
    </row>
    <row r="31" spans="1:10">
      <c r="B31" t="s">
        <v>70</v>
      </c>
      <c r="C31" s="6">
        <v>73470</v>
      </c>
      <c r="D31" s="6">
        <v>67092</v>
      </c>
      <c r="E31" s="6">
        <v>73515</v>
      </c>
      <c r="F31" s="6">
        <v>67060</v>
      </c>
      <c r="G31" s="6"/>
      <c r="H31" s="97"/>
      <c r="I31" s="97"/>
    </row>
    <row r="32" spans="1:10">
      <c r="B32" t="s">
        <v>71</v>
      </c>
      <c r="C32" s="6">
        <v>96575</v>
      </c>
      <c r="D32" s="6">
        <v>85584</v>
      </c>
      <c r="E32" s="6">
        <v>97595</v>
      </c>
      <c r="F32" s="6">
        <v>87464</v>
      </c>
      <c r="G32" s="6"/>
      <c r="H32" s="97"/>
      <c r="I32" s="97"/>
    </row>
    <row r="33" spans="1:9">
      <c r="B33" t="s">
        <v>72</v>
      </c>
      <c r="C33" s="6">
        <v>83850</v>
      </c>
      <c r="D33" s="6">
        <v>75305</v>
      </c>
      <c r="E33" s="6">
        <v>90650</v>
      </c>
      <c r="F33" s="6">
        <v>87576</v>
      </c>
      <c r="G33" s="6"/>
      <c r="H33" s="97"/>
      <c r="I33" s="97"/>
    </row>
    <row r="34" spans="1:9">
      <c r="C34" s="6"/>
      <c r="D34" s="6"/>
      <c r="E34" s="6"/>
      <c r="F34" s="6"/>
      <c r="G34" s="6"/>
      <c r="H34" s="97"/>
      <c r="I34" s="97"/>
    </row>
    <row r="35" spans="1:9">
      <c r="C35" s="6"/>
      <c r="D35" s="6"/>
      <c r="E35" s="6"/>
    </row>
    <row r="36" spans="1:9">
      <c r="B36" t="s">
        <v>73</v>
      </c>
      <c r="C36" s="6"/>
      <c r="D36" s="6"/>
      <c r="E36" s="6"/>
    </row>
    <row r="37" spans="1:9">
      <c r="C37" s="6"/>
      <c r="D37" s="6"/>
      <c r="E37" s="6"/>
    </row>
    <row r="38" spans="1:9">
      <c r="C38" s="6"/>
      <c r="D38" s="6"/>
      <c r="E38" s="6"/>
    </row>
    <row r="39" spans="1:9">
      <c r="A39" s="4" t="s">
        <v>74</v>
      </c>
      <c r="C39" s="6"/>
      <c r="D39" s="6"/>
      <c r="E39" s="6"/>
    </row>
    <row r="40" spans="1:9">
      <c r="C40" s="6" t="s">
        <v>75</v>
      </c>
      <c r="D40" s="6" t="s">
        <v>76</v>
      </c>
      <c r="E40" t="s">
        <v>77</v>
      </c>
      <c r="G40" s="6" t="s">
        <v>78</v>
      </c>
      <c r="H40" s="6" t="s">
        <v>79</v>
      </c>
    </row>
    <row r="41" spans="1:9">
      <c r="C41" s="6" t="s">
        <v>80</v>
      </c>
      <c r="D41" s="6" t="s">
        <v>81</v>
      </c>
      <c r="E41" t="s">
        <v>82</v>
      </c>
      <c r="G41" s="6" t="s">
        <v>82</v>
      </c>
      <c r="H41" s="6" t="s">
        <v>83</v>
      </c>
    </row>
    <row r="42" spans="1:9">
      <c r="B42" s="11" t="s">
        <v>84</v>
      </c>
      <c r="C42" s="16">
        <v>1</v>
      </c>
      <c r="D42" s="6">
        <v>5</v>
      </c>
      <c r="E42">
        <v>100</v>
      </c>
      <c r="G42" s="6">
        <v>10</v>
      </c>
      <c r="H42" s="6">
        <v>10</v>
      </c>
    </row>
    <row r="43" spans="1:9">
      <c r="B43" s="11" t="s">
        <v>85</v>
      </c>
      <c r="C43" s="17" t="s">
        <v>86</v>
      </c>
      <c r="D43" s="17" t="s">
        <v>86</v>
      </c>
      <c r="E43" s="11" t="s">
        <v>86</v>
      </c>
      <c r="G43" s="6" t="s">
        <v>87</v>
      </c>
      <c r="H43" s="6" t="s">
        <v>87</v>
      </c>
    </row>
    <row r="44" spans="1:9">
      <c r="B44" s="11"/>
      <c r="C44" s="17"/>
      <c r="D44" s="17"/>
      <c r="E44" s="11"/>
      <c r="G44" s="6"/>
      <c r="H44" s="6"/>
    </row>
    <row r="45" spans="1:9">
      <c r="B45" t="s">
        <v>88</v>
      </c>
      <c r="C45" s="18">
        <v>0.92</v>
      </c>
      <c r="D45" s="19"/>
      <c r="E45" s="11"/>
      <c r="G45">
        <v>9.1</v>
      </c>
      <c r="H45">
        <v>9.1</v>
      </c>
    </row>
    <row r="46" spans="1:9">
      <c r="B46" t="s">
        <v>46</v>
      </c>
      <c r="C46" s="18">
        <v>0.94</v>
      </c>
      <c r="D46" s="19">
        <v>4</v>
      </c>
      <c r="E46" s="11">
        <v>92</v>
      </c>
      <c r="G46">
        <v>9.6</v>
      </c>
      <c r="H46">
        <v>9.4</v>
      </c>
    </row>
    <row r="47" spans="1:9">
      <c r="B47" t="s">
        <v>89</v>
      </c>
      <c r="C47" s="18">
        <v>0.82</v>
      </c>
      <c r="D47" s="19"/>
      <c r="E47" s="11"/>
      <c r="G47">
        <v>9.1999999999999993</v>
      </c>
      <c r="H47">
        <v>9.1</v>
      </c>
    </row>
    <row r="48" spans="1:9">
      <c r="B48" t="s">
        <v>90</v>
      </c>
      <c r="C48" s="18">
        <v>0.74</v>
      </c>
      <c r="D48" s="19"/>
      <c r="E48" s="11">
        <v>77</v>
      </c>
      <c r="G48" s="20">
        <v>8.9</v>
      </c>
      <c r="H48" s="21">
        <v>8.5</v>
      </c>
    </row>
    <row r="49" spans="2:8">
      <c r="B49" t="s">
        <v>91</v>
      </c>
      <c r="C49" s="18">
        <v>0.77</v>
      </c>
      <c r="D49" s="19">
        <v>3</v>
      </c>
      <c r="E49" s="11"/>
      <c r="G49" s="20">
        <v>8.1999999999999993</v>
      </c>
      <c r="H49" s="21">
        <v>8.3000000000000007</v>
      </c>
    </row>
    <row r="50" spans="2:8">
      <c r="B50" t="s">
        <v>92</v>
      </c>
      <c r="C50" s="18">
        <v>0.86</v>
      </c>
      <c r="D50" s="19">
        <v>4</v>
      </c>
      <c r="E50" s="11">
        <v>86</v>
      </c>
      <c r="G50" s="20">
        <v>9.1</v>
      </c>
      <c r="H50" s="21">
        <v>8.6999999999999993</v>
      </c>
    </row>
    <row r="51" spans="2:8">
      <c r="B51" t="s">
        <v>52</v>
      </c>
      <c r="C51" s="22"/>
      <c r="D51" s="19">
        <v>2</v>
      </c>
      <c r="E51" s="11">
        <v>58</v>
      </c>
      <c r="G51" s="20">
        <v>8.1</v>
      </c>
      <c r="H51" s="21">
        <v>7.9</v>
      </c>
    </row>
    <row r="52" spans="2:8">
      <c r="B52" t="s">
        <v>93</v>
      </c>
      <c r="C52" s="18">
        <v>0.8</v>
      </c>
      <c r="D52" s="19">
        <v>4</v>
      </c>
      <c r="E52" s="11"/>
      <c r="G52" s="20">
        <v>8.1</v>
      </c>
      <c r="H52" s="21">
        <v>8.3000000000000007</v>
      </c>
    </row>
    <row r="53" spans="2:8">
      <c r="B53" t="s">
        <v>54</v>
      </c>
      <c r="C53" s="22"/>
      <c r="D53" s="19"/>
      <c r="E53" s="11"/>
      <c r="G53" s="20">
        <v>8.5</v>
      </c>
      <c r="H53" s="21">
        <v>8.4</v>
      </c>
    </row>
    <row r="54" spans="2:8">
      <c r="B54" t="s">
        <v>94</v>
      </c>
      <c r="C54" s="18">
        <v>0.77</v>
      </c>
      <c r="D54" s="19">
        <v>3</v>
      </c>
      <c r="E54" s="11">
        <v>78</v>
      </c>
      <c r="G54" s="20">
        <v>9.6</v>
      </c>
      <c r="H54" s="21">
        <v>9.1999999999999993</v>
      </c>
    </row>
    <row r="55" spans="2:8">
      <c r="B55" t="s">
        <v>72</v>
      </c>
      <c r="C55" s="22"/>
      <c r="D55" s="19">
        <v>3</v>
      </c>
      <c r="E55" s="11"/>
      <c r="G55" s="21">
        <v>9.3000000000000007</v>
      </c>
      <c r="H55" s="20">
        <v>9.1</v>
      </c>
    </row>
    <row r="57" spans="2:8">
      <c r="B57" t="s">
        <v>95</v>
      </c>
    </row>
    <row r="58" spans="2:8">
      <c r="B58" t="s">
        <v>96</v>
      </c>
    </row>
    <row r="59" spans="2:8">
      <c r="B59" t="s">
        <v>97</v>
      </c>
    </row>
  </sheetData>
  <mergeCells count="2">
    <mergeCell ref="C23:D23"/>
    <mergeCell ref="E23:F23"/>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workbookViewId="0">
      <selection activeCell="A9" sqref="A9"/>
    </sheetView>
  </sheetViews>
  <sheetFormatPr defaultColWidth="10.77734375" defaultRowHeight="15.95"/>
  <cols>
    <col min="1" max="1" width="56" style="28" customWidth="1"/>
    <col min="2" max="2" width="41.77734375" style="28" bestFit="1" customWidth="1"/>
    <col min="3" max="6" width="45.109375" style="28" customWidth="1"/>
    <col min="7" max="7" width="10" style="28" customWidth="1"/>
    <col min="8" max="16384" width="10.77734375" style="28"/>
  </cols>
  <sheetData>
    <row r="1" spans="1:8">
      <c r="A1" s="84" t="s">
        <v>98</v>
      </c>
    </row>
    <row r="2" spans="1:8">
      <c r="A2" s="73"/>
      <c r="B2" s="73"/>
      <c r="C2" s="73"/>
      <c r="D2" s="73"/>
      <c r="E2" s="73"/>
      <c r="F2" s="73"/>
      <c r="G2" s="73"/>
    </row>
    <row r="3" spans="1:8" ht="17.100000000000001">
      <c r="A3" s="74"/>
      <c r="B3" s="76" t="s">
        <v>99</v>
      </c>
      <c r="C3" s="76" t="s">
        <v>100</v>
      </c>
      <c r="D3" s="76" t="s">
        <v>101</v>
      </c>
      <c r="E3" s="76" t="s">
        <v>102</v>
      </c>
      <c r="F3" s="76" t="s">
        <v>103</v>
      </c>
      <c r="G3" s="74" t="s">
        <v>12</v>
      </c>
    </row>
    <row r="4" spans="1:8" ht="98.1" customHeight="1">
      <c r="A4" s="88" t="s">
        <v>104</v>
      </c>
      <c r="B4" s="72" t="s">
        <v>105</v>
      </c>
      <c r="C4" s="72" t="s">
        <v>106</v>
      </c>
      <c r="D4" s="72" t="s">
        <v>107</v>
      </c>
      <c r="E4" s="72" t="s">
        <v>108</v>
      </c>
      <c r="F4" s="72" t="s">
        <v>109</v>
      </c>
      <c r="G4" s="75"/>
    </row>
    <row r="5" spans="1:8" ht="18.95">
      <c r="A5" s="75"/>
      <c r="B5" s="45"/>
      <c r="C5" s="45"/>
      <c r="D5" s="45"/>
      <c r="E5" s="45"/>
      <c r="F5" s="45"/>
      <c r="G5" s="74"/>
    </row>
    <row r="6" spans="1:8" ht="17.100000000000001">
      <c r="A6" s="87" t="s">
        <v>110</v>
      </c>
      <c r="B6" s="45" t="s">
        <v>111</v>
      </c>
      <c r="C6" s="45" t="s">
        <v>111</v>
      </c>
      <c r="D6" s="45" t="s">
        <v>112</v>
      </c>
      <c r="E6" s="45" t="s">
        <v>113</v>
      </c>
      <c r="F6" s="45" t="s">
        <v>111</v>
      </c>
      <c r="G6" s="74"/>
    </row>
    <row r="7" spans="1:8">
      <c r="A7" s="87"/>
      <c r="B7" s="45"/>
      <c r="C7" s="45"/>
      <c r="D7" s="45"/>
      <c r="E7" s="45"/>
      <c r="F7" s="45"/>
      <c r="G7" s="74"/>
    </row>
    <row r="8" spans="1:8" ht="17.100000000000001">
      <c r="A8" s="85" t="s">
        <v>15</v>
      </c>
      <c r="B8" s="93">
        <v>93739.199999999997</v>
      </c>
      <c r="C8" s="93">
        <v>52845.2</v>
      </c>
      <c r="D8" s="93">
        <v>38946</v>
      </c>
      <c r="E8" s="93">
        <v>40602.199999999997</v>
      </c>
      <c r="F8" s="93">
        <v>43760.800000000003</v>
      </c>
      <c r="G8" s="77" t="s">
        <v>14</v>
      </c>
    </row>
    <row r="9" spans="1:8" ht="17.100000000000001">
      <c r="A9" s="55" t="s">
        <v>18</v>
      </c>
      <c r="B9" s="93">
        <v>8722.4</v>
      </c>
      <c r="C9" s="93">
        <v>3726.8</v>
      </c>
      <c r="D9" s="93" t="s">
        <v>114</v>
      </c>
      <c r="E9" s="93" t="s">
        <v>114</v>
      </c>
      <c r="F9" s="93">
        <v>2678.9</v>
      </c>
      <c r="G9" s="77" t="s">
        <v>14</v>
      </c>
      <c r="H9" s="100">
        <f>SUM(B9:F9)</f>
        <v>15128.1</v>
      </c>
    </row>
    <row r="10" spans="1:8" ht="17.100000000000001">
      <c r="A10" s="85" t="s">
        <v>20</v>
      </c>
      <c r="B10" s="46">
        <v>10576.4</v>
      </c>
      <c r="C10" s="46">
        <v>7284.9</v>
      </c>
      <c r="D10" s="46">
        <v>4154</v>
      </c>
      <c r="E10" s="46">
        <v>5146.3</v>
      </c>
      <c r="F10" s="46">
        <v>4306</v>
      </c>
      <c r="G10" s="77" t="s">
        <v>14</v>
      </c>
    </row>
    <row r="11" spans="1:8" ht="17.100000000000001">
      <c r="A11" s="85" t="s">
        <v>25</v>
      </c>
      <c r="B11" s="93">
        <v>98306.9</v>
      </c>
      <c r="C11" s="93">
        <v>44957.4</v>
      </c>
      <c r="D11" s="93">
        <v>25393</v>
      </c>
      <c r="E11" s="93">
        <v>46195.199999999997</v>
      </c>
      <c r="F11" s="93">
        <v>33421</v>
      </c>
      <c r="G11" s="77" t="s">
        <v>14</v>
      </c>
    </row>
    <row r="12" spans="1:8" ht="17.100000000000001">
      <c r="A12" s="87" t="s">
        <v>115</v>
      </c>
      <c r="B12" s="93" t="s">
        <v>116</v>
      </c>
      <c r="C12" s="93">
        <v>46676.7</v>
      </c>
      <c r="D12" s="93">
        <v>21142.3</v>
      </c>
      <c r="E12" s="93">
        <v>37865.9</v>
      </c>
      <c r="F12" s="93" t="s">
        <v>116</v>
      </c>
      <c r="G12" s="74" t="s">
        <v>14</v>
      </c>
    </row>
    <row r="14" spans="1:8" s="90" customFormat="1" ht="17.100000000000001">
      <c r="A14" s="89" t="s">
        <v>117</v>
      </c>
      <c r="B14" s="91">
        <v>51200</v>
      </c>
      <c r="C14" s="91">
        <v>39500</v>
      </c>
      <c r="D14" s="91">
        <v>34300</v>
      </c>
      <c r="E14" s="91">
        <v>31900</v>
      </c>
      <c r="F14" s="91">
        <v>25400</v>
      </c>
      <c r="G14" s="92" t="s">
        <v>118</v>
      </c>
    </row>
    <row r="15" spans="1:8" ht="17.100000000000001">
      <c r="A15" s="85" t="s">
        <v>119</v>
      </c>
      <c r="B15" s="79">
        <v>0.19</v>
      </c>
      <c r="C15" s="79">
        <v>0.26</v>
      </c>
      <c r="D15" s="79">
        <v>0.56000000000000005</v>
      </c>
      <c r="E15" s="79">
        <v>0.24</v>
      </c>
      <c r="F15" s="79">
        <v>0.27</v>
      </c>
      <c r="G15" s="78" t="s">
        <v>120</v>
      </c>
    </row>
    <row r="16" spans="1:8" ht="17.100000000000001">
      <c r="A16" s="85" t="s">
        <v>121</v>
      </c>
      <c r="B16" s="79">
        <v>0.46</v>
      </c>
      <c r="C16" s="79">
        <v>0.5</v>
      </c>
      <c r="D16" s="79">
        <v>0.34</v>
      </c>
      <c r="E16" s="79">
        <v>0.13</v>
      </c>
      <c r="F16" s="79">
        <v>0.48</v>
      </c>
      <c r="G16" s="78" t="s">
        <v>120</v>
      </c>
    </row>
    <row r="17" spans="1:7" ht="17.100000000000001">
      <c r="A17" s="85" t="s">
        <v>122</v>
      </c>
      <c r="B17" s="79">
        <v>0.33</v>
      </c>
      <c r="C17" s="79">
        <v>0.21</v>
      </c>
      <c r="D17" s="80">
        <v>0.09</v>
      </c>
      <c r="E17" s="79">
        <v>0.62</v>
      </c>
      <c r="F17" s="79">
        <v>0.22</v>
      </c>
      <c r="G17" s="78" t="s">
        <v>120</v>
      </c>
    </row>
    <row r="18" spans="1:7" ht="17.100000000000001">
      <c r="A18" s="85" t="s">
        <v>123</v>
      </c>
      <c r="B18" s="79">
        <v>0.02</v>
      </c>
      <c r="C18" s="79">
        <v>0.03</v>
      </c>
      <c r="D18" s="80">
        <v>0.01</v>
      </c>
      <c r="E18" s="79">
        <v>0.01</v>
      </c>
      <c r="F18" s="79">
        <v>0.03</v>
      </c>
      <c r="G18" s="78" t="s">
        <v>120</v>
      </c>
    </row>
    <row r="19" spans="1:7">
      <c r="A19" s="73"/>
      <c r="B19" s="79"/>
      <c r="C19" s="79"/>
      <c r="D19" s="80"/>
      <c r="E19" s="79"/>
      <c r="F19" s="79"/>
      <c r="G19" s="78"/>
    </row>
    <row r="20" spans="1:7" s="35" customFormat="1" ht="17.100000000000001">
      <c r="A20" s="86" t="s">
        <v>124</v>
      </c>
      <c r="B20" s="82">
        <v>2.3E-2</v>
      </c>
      <c r="C20" s="82">
        <v>1.7999999999999999E-2</v>
      </c>
      <c r="D20" s="82">
        <v>1.4999999999999999E-2</v>
      </c>
      <c r="E20" s="82">
        <v>1.4E-2</v>
      </c>
      <c r="F20" s="82">
        <v>1.0999999999999999E-2</v>
      </c>
      <c r="G20" s="81" t="s">
        <v>118</v>
      </c>
    </row>
    <row r="21" spans="1:7">
      <c r="A21" s="73"/>
      <c r="B21" s="83"/>
      <c r="C21" s="83"/>
      <c r="D21" s="83"/>
      <c r="E21" s="83"/>
      <c r="F21" s="83"/>
      <c r="G21" s="78"/>
    </row>
    <row r="24" spans="1:7">
      <c r="A24" s="85"/>
      <c r="B24" s="93"/>
      <c r="C24" s="93"/>
      <c r="D24" s="93"/>
      <c r="E24" s="93"/>
      <c r="F24" s="93"/>
      <c r="G24" s="77"/>
    </row>
  </sheetData>
  <hyperlinks>
    <hyperlink ref="G15" r:id="rId1" xr:uid="{00000000-0004-0000-0200-000000000000}"/>
    <hyperlink ref="G16:G18" r:id="rId2" display="PWC" xr:uid="{00000000-0004-0000-0200-000001000000}"/>
    <hyperlink ref="G14" r:id="rId3" xr:uid="{00000000-0004-0000-0200-000002000000}"/>
    <hyperlink ref="G20" r:id="rId4" xr:uid="{00000000-0004-0000-0200-000003000000}"/>
  </hyperlinks>
  <pageMargins left="0.7" right="0.7" top="0.75" bottom="0.75" header="0.3" footer="0.3"/>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86"/>
  <sheetViews>
    <sheetView zoomScale="120" zoomScaleNormal="120" zoomScalePageLayoutView="120" workbookViewId="0">
      <pane xSplit="2" ySplit="4" topLeftCell="D66" activePane="bottomRight" state="frozen"/>
      <selection pane="bottomRight" activeCell="E49" sqref="E49"/>
      <selection pane="bottomLeft" activeCell="A5" sqref="A5"/>
      <selection pane="topRight" activeCell="C1" sqref="C1"/>
    </sheetView>
  </sheetViews>
  <sheetFormatPr defaultColWidth="10.77734375" defaultRowHeight="15.95"/>
  <cols>
    <col min="1" max="1" width="4.44140625" customWidth="1"/>
    <col min="2" max="2" width="37.109375" customWidth="1"/>
    <col min="3" max="5" width="7.77734375" bestFit="1" customWidth="1"/>
    <col min="6" max="6" width="6.77734375" bestFit="1" customWidth="1"/>
    <col min="7" max="7" width="7.77734375" bestFit="1" customWidth="1"/>
    <col min="8" max="8" width="8.77734375" bestFit="1" customWidth="1"/>
    <col min="9" max="25" width="8.33203125" customWidth="1"/>
    <col min="26" max="29" width="9.44140625" customWidth="1"/>
    <col min="33" max="36" width="10.77734375" style="3"/>
  </cols>
  <sheetData>
    <row r="1" spans="1:36">
      <c r="A1" s="4" t="s">
        <v>125</v>
      </c>
    </row>
    <row r="3" spans="1:36" s="2" customFormat="1">
      <c r="C3" s="2">
        <v>2011</v>
      </c>
      <c r="G3" s="2">
        <v>2012</v>
      </c>
      <c r="K3" s="2">
        <v>2013</v>
      </c>
      <c r="O3" s="2">
        <v>2014</v>
      </c>
      <c r="S3" s="2">
        <v>2015</v>
      </c>
      <c r="W3" s="2">
        <v>2016</v>
      </c>
      <c r="AA3" s="2">
        <v>2017</v>
      </c>
      <c r="AD3" s="12"/>
      <c r="AE3" s="13">
        <v>2018</v>
      </c>
      <c r="AG3" s="12"/>
      <c r="AH3" s="12"/>
      <c r="AI3" s="13">
        <v>2019</v>
      </c>
      <c r="AJ3" s="12"/>
    </row>
    <row r="4" spans="1:36">
      <c r="C4" s="1" t="s">
        <v>126</v>
      </c>
      <c r="D4" s="1" t="s">
        <v>127</v>
      </c>
      <c r="E4" s="1" t="s">
        <v>128</v>
      </c>
      <c r="F4" s="1" t="s">
        <v>129</v>
      </c>
      <c r="G4" s="1" t="s">
        <v>126</v>
      </c>
      <c r="H4" s="1" t="s">
        <v>127</v>
      </c>
      <c r="I4" s="1" t="s">
        <v>128</v>
      </c>
      <c r="J4" s="1" t="s">
        <v>129</v>
      </c>
      <c r="K4" s="1" t="s">
        <v>126</v>
      </c>
      <c r="L4" s="1" t="s">
        <v>127</v>
      </c>
      <c r="M4" s="1" t="s">
        <v>128</v>
      </c>
      <c r="N4" s="1" t="s">
        <v>129</v>
      </c>
      <c r="O4" s="1" t="s">
        <v>126</v>
      </c>
      <c r="P4" s="1" t="s">
        <v>127</v>
      </c>
      <c r="Q4" s="1" t="s">
        <v>128</v>
      </c>
      <c r="R4" s="1" t="s">
        <v>129</v>
      </c>
      <c r="S4" s="1" t="s">
        <v>126</v>
      </c>
      <c r="T4" s="1" t="s">
        <v>127</v>
      </c>
      <c r="U4" s="1" t="s">
        <v>128</v>
      </c>
      <c r="V4" s="1" t="s">
        <v>129</v>
      </c>
      <c r="W4" s="1" t="s">
        <v>126</v>
      </c>
      <c r="X4" s="1" t="s">
        <v>127</v>
      </c>
      <c r="Y4" s="1" t="s">
        <v>128</v>
      </c>
      <c r="Z4" s="1" t="s">
        <v>129</v>
      </c>
      <c r="AA4" s="1" t="s">
        <v>126</v>
      </c>
      <c r="AB4" s="1" t="s">
        <v>127</v>
      </c>
      <c r="AC4" s="1" t="s">
        <v>128</v>
      </c>
      <c r="AD4" s="14" t="s">
        <v>129</v>
      </c>
      <c r="AE4" s="14" t="s">
        <v>126</v>
      </c>
      <c r="AF4" s="1" t="s">
        <v>127</v>
      </c>
      <c r="AG4" s="14" t="s">
        <v>128</v>
      </c>
      <c r="AH4" s="14" t="s">
        <v>129</v>
      </c>
      <c r="AI4" s="14" t="s">
        <v>126</v>
      </c>
      <c r="AJ4" s="14" t="s">
        <v>127</v>
      </c>
    </row>
    <row r="5" spans="1:36">
      <c r="A5" s="4" t="s">
        <v>130</v>
      </c>
      <c r="AD5" s="3"/>
      <c r="AE5" s="3"/>
    </row>
    <row r="6" spans="1:36">
      <c r="A6" s="4"/>
      <c r="B6" s="23" t="s">
        <v>131</v>
      </c>
      <c r="AD6" s="3"/>
      <c r="AE6" s="3"/>
    </row>
    <row r="7" spans="1:36">
      <c r="B7" t="s">
        <v>132</v>
      </c>
      <c r="C7" s="3">
        <v>33.628</v>
      </c>
      <c r="D7" s="3">
        <v>39.027999999999999</v>
      </c>
      <c r="E7" s="3">
        <v>43.234999999999999</v>
      </c>
      <c r="F7" s="3">
        <v>32.677</v>
      </c>
      <c r="G7" s="3">
        <v>19.245000000000001</v>
      </c>
      <c r="H7" s="3">
        <v>22.053999999999998</v>
      </c>
      <c r="I7" s="3">
        <v>50.023000000000003</v>
      </c>
      <c r="J7" s="3">
        <v>294.37700000000001</v>
      </c>
      <c r="K7" s="3">
        <v>555.20299999999997</v>
      </c>
      <c r="L7" s="3">
        <v>401.53500000000003</v>
      </c>
      <c r="M7" s="3">
        <v>430.19600000000003</v>
      </c>
      <c r="N7" s="3">
        <v>610.85199999999998</v>
      </c>
      <c r="O7" s="3">
        <v>588.87099999999998</v>
      </c>
      <c r="P7" s="3">
        <v>727.82899999999995</v>
      </c>
      <c r="Q7" s="3">
        <v>799.91499999999996</v>
      </c>
      <c r="R7" s="3">
        <v>1076.1079999999999</v>
      </c>
      <c r="S7" s="3">
        <v>893.32</v>
      </c>
      <c r="T7" s="3">
        <v>878.09</v>
      </c>
      <c r="U7" s="3">
        <v>852.55499999999995</v>
      </c>
      <c r="V7" s="3">
        <v>1117.008</v>
      </c>
      <c r="W7" s="3">
        <v>1026.0640000000001</v>
      </c>
      <c r="X7" s="3">
        <v>1181.8520000000001</v>
      </c>
      <c r="Y7" s="3">
        <v>2148.7269999999999</v>
      </c>
      <c r="Z7" s="3">
        <v>1994.123</v>
      </c>
      <c r="AA7" s="3">
        <v>2289.6</v>
      </c>
      <c r="AB7" s="3">
        <v>2286.616</v>
      </c>
      <c r="AC7" s="3">
        <v>2363</v>
      </c>
      <c r="AD7" s="3">
        <v>2702.1950000000002</v>
      </c>
      <c r="AE7" s="3">
        <v>2735.317</v>
      </c>
      <c r="AF7" s="3">
        <v>3357.681</v>
      </c>
      <c r="AG7" s="3">
        <v>6098.7659999999996</v>
      </c>
      <c r="AH7" s="3">
        <v>6323.2190000000001</v>
      </c>
      <c r="AI7" s="3">
        <v>3723.8609999999999</v>
      </c>
      <c r="AJ7" s="3">
        <v>5376.3890000000001</v>
      </c>
    </row>
    <row r="8" spans="1:36">
      <c r="B8" t="s">
        <v>133</v>
      </c>
      <c r="C8" s="3">
        <v>15.401999999999999</v>
      </c>
      <c r="D8" s="3">
        <v>19.143000000000001</v>
      </c>
      <c r="E8" s="3">
        <v>14.430999999999999</v>
      </c>
      <c r="F8" s="3">
        <v>6.6980000000000004</v>
      </c>
      <c r="G8" s="3">
        <v>10.922000000000001</v>
      </c>
      <c r="H8" s="3">
        <v>4.5990000000000002</v>
      </c>
      <c r="I8" s="3">
        <v>8.1000000000000003E-2</v>
      </c>
      <c r="J8" s="3">
        <v>11.955</v>
      </c>
      <c r="K8" s="3">
        <v>6.5890000000000004</v>
      </c>
      <c r="L8" s="3">
        <v>3.6040000000000001</v>
      </c>
      <c r="M8" s="3">
        <v>1.1499999999999999</v>
      </c>
      <c r="N8" s="3">
        <v>4.367</v>
      </c>
      <c r="O8" s="3">
        <v>31.670999999999999</v>
      </c>
      <c r="P8" s="3">
        <v>41.52</v>
      </c>
      <c r="Q8" s="3">
        <v>51.889000000000003</v>
      </c>
      <c r="R8" s="3">
        <v>-119.447</v>
      </c>
      <c r="S8" s="3">
        <v>46.56</v>
      </c>
      <c r="T8" s="3">
        <v>76.885999999999996</v>
      </c>
      <c r="U8" s="3">
        <v>84.233999999999995</v>
      </c>
      <c r="V8" s="3">
        <v>97.372</v>
      </c>
      <c r="W8" s="3">
        <v>120.98399999999999</v>
      </c>
      <c r="X8" s="3">
        <v>88.165000000000006</v>
      </c>
      <c r="Y8" s="3">
        <v>149.709</v>
      </c>
      <c r="Z8" s="3">
        <f>+Z9-Z7</f>
        <v>290.50799999999981</v>
      </c>
      <c r="AA8" s="3">
        <f t="shared" ref="AA8:AB8" si="0">+AA9-AA7</f>
        <v>406.67000000000007</v>
      </c>
      <c r="AB8" s="3">
        <f t="shared" si="0"/>
        <v>502.9409999999998</v>
      </c>
      <c r="AC8" s="3">
        <f>+AC9-AC7</f>
        <v>621.67500000000018</v>
      </c>
      <c r="AD8" s="3">
        <f>+AD9-AD7</f>
        <v>586.05399999999963</v>
      </c>
      <c r="AE8" s="3">
        <f>+AE9-AE7</f>
        <v>673.4340000000002</v>
      </c>
      <c r="AF8" s="3">
        <f>+AF9-AF7</f>
        <v>644.55000000000018</v>
      </c>
      <c r="AG8" s="3">
        <f t="shared" ref="AG8:AJ8" si="1">+AG9-AG7</f>
        <v>725.64699999999993</v>
      </c>
      <c r="AH8" s="3">
        <f t="shared" si="1"/>
        <v>902.65399999999954</v>
      </c>
      <c r="AI8" s="3">
        <f t="shared" si="1"/>
        <v>817.60300000000007</v>
      </c>
      <c r="AJ8" s="3">
        <f t="shared" si="1"/>
        <v>973.28700000000026</v>
      </c>
    </row>
    <row r="9" spans="1:36">
      <c r="B9" s="4" t="s">
        <v>134</v>
      </c>
      <c r="C9" s="3">
        <v>49.03</v>
      </c>
      <c r="D9" s="3">
        <v>58.170999999999999</v>
      </c>
      <c r="E9" s="3">
        <v>57.665999999999997</v>
      </c>
      <c r="F9" s="3">
        <v>39.375</v>
      </c>
      <c r="G9" s="3">
        <v>30.167000000000002</v>
      </c>
      <c r="H9" s="3">
        <v>26.652999999999999</v>
      </c>
      <c r="I9" s="3">
        <v>50.103999999999999</v>
      </c>
      <c r="J9" s="3">
        <v>306.33199999999999</v>
      </c>
      <c r="K9" s="3">
        <v>561.79200000000003</v>
      </c>
      <c r="L9" s="3">
        <v>405.13900000000001</v>
      </c>
      <c r="M9" s="3">
        <v>431.346</v>
      </c>
      <c r="N9" s="3">
        <v>615.21900000000005</v>
      </c>
      <c r="O9" s="3">
        <v>620.54200000000003</v>
      </c>
      <c r="P9" s="3">
        <v>769.34900000000005</v>
      </c>
      <c r="Q9" s="3">
        <v>851.80399999999997</v>
      </c>
      <c r="R9" s="3">
        <v>956.66099999999994</v>
      </c>
      <c r="S9" s="3">
        <v>939.88</v>
      </c>
      <c r="T9" s="3">
        <v>954.976</v>
      </c>
      <c r="U9" s="3">
        <v>936.78899999999999</v>
      </c>
      <c r="V9" s="3">
        <v>1214.3800000000001</v>
      </c>
      <c r="W9" s="3">
        <v>1147</v>
      </c>
      <c r="X9" s="3">
        <v>1270</v>
      </c>
      <c r="Y9" s="3">
        <v>2298.4360000000001</v>
      </c>
      <c r="Z9" s="3">
        <v>2284.6309999999999</v>
      </c>
      <c r="AA9" s="3">
        <v>2696.27</v>
      </c>
      <c r="AB9" s="3">
        <v>2789.5569999999998</v>
      </c>
      <c r="AC9" s="3">
        <v>2984.6750000000002</v>
      </c>
      <c r="AD9" s="3">
        <v>3288.2489999999998</v>
      </c>
      <c r="AE9" s="3">
        <v>3408.7510000000002</v>
      </c>
      <c r="AF9" s="3">
        <v>4002.2310000000002</v>
      </c>
      <c r="AG9" s="3">
        <v>6824.4129999999996</v>
      </c>
      <c r="AH9" s="3">
        <v>7225.8729999999996</v>
      </c>
      <c r="AI9" s="3">
        <v>4541.4639999999999</v>
      </c>
      <c r="AJ9" s="3">
        <v>6349.6760000000004</v>
      </c>
    </row>
    <row r="10" spans="1:36">
      <c r="B10" s="4"/>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spans="1:36">
      <c r="B11" s="23" t="s">
        <v>135</v>
      </c>
      <c r="C11" s="3"/>
      <c r="D11" s="3"/>
      <c r="E11" s="3"/>
      <c r="F11" s="3"/>
      <c r="G11" s="3"/>
      <c r="H11" s="3"/>
      <c r="I11" s="3"/>
      <c r="J11" s="3"/>
      <c r="K11" s="3"/>
      <c r="L11" s="3"/>
      <c r="M11" s="3"/>
      <c r="N11" s="3"/>
      <c r="O11" s="3"/>
      <c r="P11" s="3"/>
      <c r="Q11" s="3"/>
      <c r="R11" s="3"/>
      <c r="S11" s="3"/>
      <c r="T11" s="3"/>
      <c r="U11" s="3"/>
      <c r="V11" s="3"/>
      <c r="AD11" s="3"/>
      <c r="AE11" s="3"/>
    </row>
    <row r="12" spans="1:36">
      <c r="B12" t="s">
        <v>132</v>
      </c>
      <c r="C12" s="3">
        <v>26.960999999999999</v>
      </c>
      <c r="D12" s="3">
        <v>30.527999999999999</v>
      </c>
      <c r="E12" s="3">
        <v>32.752000000000002</v>
      </c>
      <c r="F12" s="3">
        <v>25.241</v>
      </c>
      <c r="G12" s="3">
        <v>13.932</v>
      </c>
      <c r="H12" s="3">
        <v>20.149999999999999</v>
      </c>
      <c r="I12" s="3">
        <v>58.865000000000002</v>
      </c>
      <c r="J12" s="3">
        <v>278.71100000000001</v>
      </c>
      <c r="K12" s="3">
        <v>461.81799999999998</v>
      </c>
      <c r="L12" s="3">
        <v>303.59899999999999</v>
      </c>
      <c r="M12" s="3">
        <v>324.88299999999998</v>
      </c>
      <c r="N12" s="3">
        <v>453.57799999999997</v>
      </c>
      <c r="O12" s="3">
        <v>436.25400000000002</v>
      </c>
      <c r="P12" s="3">
        <v>519.81100000000004</v>
      </c>
      <c r="Q12" s="3">
        <v>552.98699999999997</v>
      </c>
      <c r="R12" s="3">
        <v>800.95899999999995</v>
      </c>
      <c r="S12" s="3">
        <v>631.745</v>
      </c>
      <c r="T12" s="3">
        <v>666.38599999999997</v>
      </c>
      <c r="U12" s="3">
        <v>628.72900000000004</v>
      </c>
      <c r="V12" s="3">
        <v>896.44200000000001</v>
      </c>
      <c r="W12" s="3">
        <v>779.31600000000003</v>
      </c>
      <c r="X12" s="3">
        <v>909.28200000000004</v>
      </c>
      <c r="Y12" s="3">
        <v>1517.0609999999999</v>
      </c>
      <c r="Z12" s="3">
        <v>1544.422</v>
      </c>
      <c r="AA12" s="3">
        <v>1662.675</v>
      </c>
      <c r="AB12" s="3">
        <v>1648.011</v>
      </c>
      <c r="AC12" s="3">
        <v>1930.846</v>
      </c>
      <c r="AD12" s="3">
        <v>2191.172</v>
      </c>
      <c r="AE12" s="3">
        <v>2195.893</v>
      </c>
      <c r="AF12" s="3">
        <v>2666.654</v>
      </c>
      <c r="AG12" s="3">
        <v>4525.2020000000002</v>
      </c>
      <c r="AH12" s="3">
        <v>4786.2479999999996</v>
      </c>
      <c r="AI12" s="3">
        <v>2973.3009999999999</v>
      </c>
      <c r="AJ12" s="3">
        <v>4360.085</v>
      </c>
    </row>
    <row r="13" spans="1:36">
      <c r="B13" t="s">
        <v>136</v>
      </c>
      <c r="C13" s="3">
        <v>4.0410000000000004</v>
      </c>
      <c r="D13" s="3">
        <v>9.1349999999999998</v>
      </c>
      <c r="E13" s="3">
        <v>7.69</v>
      </c>
      <c r="F13" s="3">
        <v>6.2990000000000004</v>
      </c>
      <c r="G13" s="3">
        <v>6.0250000000000004</v>
      </c>
      <c r="H13" s="3">
        <v>1.7410000000000001</v>
      </c>
      <c r="I13" s="3">
        <v>0</v>
      </c>
      <c r="J13" s="3">
        <v>3.7650000000000001</v>
      </c>
      <c r="K13" s="3">
        <v>3.6539999999999999</v>
      </c>
      <c r="L13" s="3">
        <v>1.0569999999999999</v>
      </c>
      <c r="M13" s="3">
        <v>3.5950000000000002</v>
      </c>
      <c r="N13" s="3">
        <v>5.05</v>
      </c>
      <c r="O13" s="3">
        <v>29.16</v>
      </c>
      <c r="P13" s="3">
        <v>36.542999999999999</v>
      </c>
      <c r="Q13" s="3">
        <v>46.966000000000001</v>
      </c>
      <c r="R13" s="3">
        <v>-105.995</v>
      </c>
      <c r="S13" s="3">
        <v>48.061999999999998</v>
      </c>
      <c r="T13" s="3">
        <v>75.22</v>
      </c>
      <c r="U13" s="3">
        <v>76.563999999999993</v>
      </c>
      <c r="V13" s="3">
        <v>99.373999999999995</v>
      </c>
      <c r="W13" s="3">
        <v>115.264</v>
      </c>
      <c r="X13" s="3">
        <v>85.959000000000003</v>
      </c>
      <c r="Y13" s="3">
        <f t="shared" ref="Y13" si="2">+Y14-Y12</f>
        <v>144.6400000000001</v>
      </c>
      <c r="Z13" s="3">
        <f t="shared" ref="Z13" si="3">+Z14-Z12</f>
        <v>304.93100000000004</v>
      </c>
      <c r="AA13" s="3">
        <f t="shared" ref="AA13:AB13" si="4">+AA14-AA12</f>
        <v>365.64900000000011</v>
      </c>
      <c r="AB13" s="3">
        <f t="shared" si="4"/>
        <v>474.93100000000004</v>
      </c>
      <c r="AC13" s="3">
        <f>+AC14-AC12</f>
        <v>604.68899999999985</v>
      </c>
      <c r="AD13" s="3">
        <f>+AD14-AD12</f>
        <v>658.29100000000017</v>
      </c>
      <c r="AE13" s="3">
        <f>+AE14-AE12</f>
        <v>756.33199999999988</v>
      </c>
      <c r="AF13" s="3">
        <f>+AF14-AF12</f>
        <v>716.64600000000019</v>
      </c>
      <c r="AG13" s="3">
        <f t="shared" ref="AG13:AJ13" si="5">+AG14-AG12</f>
        <v>775.54599999999937</v>
      </c>
      <c r="AH13" s="3">
        <f t="shared" si="5"/>
        <v>996.72500000000036</v>
      </c>
      <c r="AI13" s="3">
        <f t="shared" si="5"/>
        <v>1002.4200000000001</v>
      </c>
      <c r="AJ13" s="3">
        <f t="shared" si="5"/>
        <v>1068.5450000000001</v>
      </c>
    </row>
    <row r="14" spans="1:36">
      <c r="B14" s="4" t="s">
        <v>137</v>
      </c>
      <c r="C14" s="3">
        <v>31.001999999999999</v>
      </c>
      <c r="D14" s="3">
        <v>39.662999999999997</v>
      </c>
      <c r="E14" s="3">
        <v>40.442</v>
      </c>
      <c r="F14" s="3">
        <v>31.54</v>
      </c>
      <c r="G14" s="3">
        <v>19.957000000000001</v>
      </c>
      <c r="H14" s="3">
        <v>21.890999999999998</v>
      </c>
      <c r="I14" s="3">
        <v>58.865000000000002</v>
      </c>
      <c r="J14" s="3">
        <v>282.476</v>
      </c>
      <c r="K14" s="3">
        <v>465.47199999999998</v>
      </c>
      <c r="L14" s="3">
        <v>304.65600000000001</v>
      </c>
      <c r="M14" s="3">
        <v>328.47800000000001</v>
      </c>
      <c r="N14" s="3">
        <v>458.62799999999999</v>
      </c>
      <c r="O14" s="3">
        <v>465.41399999999999</v>
      </c>
      <c r="P14" s="3">
        <v>556.35400000000004</v>
      </c>
      <c r="Q14" s="3">
        <v>599.95299999999997</v>
      </c>
      <c r="R14" s="3">
        <v>694.96400000000006</v>
      </c>
      <c r="S14" s="3">
        <v>679.80700000000002</v>
      </c>
      <c r="T14" s="3">
        <v>741.60599999999999</v>
      </c>
      <c r="U14" s="3">
        <v>705.29300000000001</v>
      </c>
      <c r="V14" s="3">
        <v>995.81600000000003</v>
      </c>
      <c r="W14" s="3">
        <v>895</v>
      </c>
      <c r="X14" s="3">
        <v>995</v>
      </c>
      <c r="Y14" s="3">
        <v>1661.701</v>
      </c>
      <c r="Z14" s="3">
        <v>1849.3530000000001</v>
      </c>
      <c r="AA14" s="3">
        <v>2028.3240000000001</v>
      </c>
      <c r="AB14" s="3">
        <v>2122.942</v>
      </c>
      <c r="AC14" s="3">
        <v>2535.5349999999999</v>
      </c>
      <c r="AD14" s="3">
        <v>2849.4630000000002</v>
      </c>
      <c r="AE14" s="3">
        <v>2952.2249999999999</v>
      </c>
      <c r="AF14" s="3">
        <v>3383.3</v>
      </c>
      <c r="AG14" s="3">
        <v>5300.7479999999996</v>
      </c>
      <c r="AH14" s="3">
        <v>5782.973</v>
      </c>
      <c r="AI14" s="3">
        <v>3975.721</v>
      </c>
      <c r="AJ14" s="3">
        <v>5428.63</v>
      </c>
    </row>
    <row r="15" spans="1:36">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spans="1:36">
      <c r="B16" t="s">
        <v>138</v>
      </c>
      <c r="C16" s="3">
        <v>18.027999999999999</v>
      </c>
      <c r="D16" s="3">
        <v>18.507999999999999</v>
      </c>
      <c r="E16" s="3">
        <v>17.224</v>
      </c>
      <c r="F16" s="3">
        <v>7.835</v>
      </c>
      <c r="G16" s="3">
        <v>10.210000000000001</v>
      </c>
      <c r="H16" s="3">
        <v>4.7619999999999996</v>
      </c>
      <c r="I16" s="3">
        <v>-8.7609999999999992</v>
      </c>
      <c r="J16" s="3">
        <v>23.856000000000002</v>
      </c>
      <c r="K16" s="3">
        <v>96.32</v>
      </c>
      <c r="L16" s="3">
        <v>100.483</v>
      </c>
      <c r="M16" s="3">
        <v>102.86799999999999</v>
      </c>
      <c r="N16" s="3">
        <v>156.59100000000001</v>
      </c>
      <c r="O16" s="3">
        <v>155.12799999999999</v>
      </c>
      <c r="P16" s="3">
        <v>212.995</v>
      </c>
      <c r="Q16" s="3">
        <v>251.851</v>
      </c>
      <c r="R16" s="3">
        <v>261.697</v>
      </c>
      <c r="S16" s="3">
        <v>260.07299999999998</v>
      </c>
      <c r="T16" s="3">
        <v>213.37</v>
      </c>
      <c r="U16" s="3">
        <v>231.49600000000001</v>
      </c>
      <c r="V16" s="3">
        <v>218.56399999999999</v>
      </c>
      <c r="W16" s="3">
        <v>252</v>
      </c>
      <c r="X16" s="3">
        <v>275</v>
      </c>
      <c r="Y16" s="3">
        <v>637</v>
      </c>
      <c r="Z16" s="3">
        <f>Z9-Z14</f>
        <v>435.27799999999979</v>
      </c>
      <c r="AA16" s="3">
        <f>AA9-AA14</f>
        <v>667.94599999999991</v>
      </c>
      <c r="AB16" s="3">
        <f>AB9-AB14</f>
        <v>666.61499999999978</v>
      </c>
      <c r="AC16" s="3">
        <f>AC9-AC14</f>
        <v>449.14000000000033</v>
      </c>
      <c r="AD16" s="3">
        <f>+AD9-AD14</f>
        <v>438.7859999999996</v>
      </c>
      <c r="AE16" s="3">
        <f>+AE9-AE14</f>
        <v>456.52600000000029</v>
      </c>
      <c r="AF16">
        <v>619</v>
      </c>
      <c r="AG16" s="3">
        <f t="shared" ref="AG16:AI16" si="6">+AG9-AG14</f>
        <v>1523.665</v>
      </c>
      <c r="AH16" s="3">
        <f t="shared" si="6"/>
        <v>1442.8999999999996</v>
      </c>
      <c r="AI16" s="3">
        <f t="shared" si="6"/>
        <v>565.74299999999994</v>
      </c>
      <c r="AJ16" s="3">
        <f>+AJ9-AJ14</f>
        <v>921.04600000000028</v>
      </c>
    </row>
    <row r="17" spans="1:37">
      <c r="AD17" s="3"/>
      <c r="AE17" s="3"/>
    </row>
    <row r="18" spans="1:37">
      <c r="B18" t="s">
        <v>139</v>
      </c>
      <c r="C18" s="3">
        <v>41.161999999999999</v>
      </c>
      <c r="D18" s="3">
        <v>52.530999999999999</v>
      </c>
      <c r="E18" s="3">
        <v>54.082999999999998</v>
      </c>
      <c r="F18" s="3">
        <v>61.204999999999998</v>
      </c>
      <c r="G18" s="3">
        <v>68.391000000000005</v>
      </c>
      <c r="H18" s="3">
        <v>74.853999999999999</v>
      </c>
      <c r="I18" s="3">
        <v>61.901000000000003</v>
      </c>
      <c r="J18" s="3">
        <v>68.831999999999994</v>
      </c>
      <c r="K18" s="3">
        <v>54.859000000000002</v>
      </c>
      <c r="L18" s="3">
        <v>52.311999999999998</v>
      </c>
      <c r="M18" s="3">
        <v>56.350999999999999</v>
      </c>
      <c r="N18" s="3">
        <v>68.453999999999994</v>
      </c>
      <c r="O18" s="3">
        <v>81.543999999999997</v>
      </c>
      <c r="P18" s="3">
        <v>107.717</v>
      </c>
      <c r="Q18" s="3">
        <v>135.87299999999999</v>
      </c>
      <c r="R18" s="3">
        <v>139.566</v>
      </c>
      <c r="S18" s="3">
        <v>167.154</v>
      </c>
      <c r="T18" s="3">
        <v>181.71199999999999</v>
      </c>
      <c r="U18" s="3">
        <v>178.791</v>
      </c>
      <c r="V18" s="3">
        <v>190.24299999999999</v>
      </c>
      <c r="W18" s="3">
        <v>182</v>
      </c>
      <c r="X18" s="3">
        <v>192</v>
      </c>
      <c r="Y18" s="3">
        <v>214</v>
      </c>
      <c r="Z18" s="3">
        <v>246</v>
      </c>
      <c r="AA18" s="3">
        <v>322</v>
      </c>
      <c r="AB18" s="3">
        <v>369</v>
      </c>
      <c r="AC18" s="3">
        <v>331</v>
      </c>
      <c r="AD18" s="3">
        <v>354.36700000000002</v>
      </c>
      <c r="AE18" s="3">
        <v>367.096</v>
      </c>
      <c r="AF18" s="3">
        <v>386</v>
      </c>
      <c r="AG18" s="3">
        <v>350.84800000000001</v>
      </c>
      <c r="AH18" s="3">
        <v>356.29700000000003</v>
      </c>
      <c r="AI18" s="3">
        <v>340.17399999999998</v>
      </c>
      <c r="AJ18" s="3">
        <v>323.89800000000002</v>
      </c>
    </row>
    <row r="19" spans="1:37">
      <c r="B19" t="s">
        <v>140</v>
      </c>
      <c r="C19" s="3">
        <v>24.212</v>
      </c>
      <c r="D19" s="3">
        <v>24.716000000000001</v>
      </c>
      <c r="E19" s="3">
        <v>27.617999999999999</v>
      </c>
      <c r="F19" s="3">
        <v>27.556000000000001</v>
      </c>
      <c r="G19" s="3">
        <v>30.582000000000001</v>
      </c>
      <c r="H19" s="3">
        <v>36.082999999999998</v>
      </c>
      <c r="I19" s="3">
        <v>37.798000000000002</v>
      </c>
      <c r="J19" s="3">
        <v>45.908999999999999</v>
      </c>
      <c r="K19" s="3">
        <v>47.045000000000002</v>
      </c>
      <c r="L19" s="3">
        <v>59.963000000000001</v>
      </c>
      <c r="M19" s="3">
        <v>77.070999999999998</v>
      </c>
      <c r="N19" s="3">
        <v>101.49</v>
      </c>
      <c r="O19" s="3">
        <v>117.551</v>
      </c>
      <c r="P19" s="3">
        <v>134.03100000000001</v>
      </c>
      <c r="Q19" s="3">
        <v>155.107</v>
      </c>
      <c r="R19" s="3">
        <v>196.971</v>
      </c>
      <c r="S19" s="3">
        <v>195.36500000000001</v>
      </c>
      <c r="T19" s="3">
        <v>201.846</v>
      </c>
      <c r="U19" s="3">
        <v>236.36699999999999</v>
      </c>
      <c r="V19" s="3">
        <v>288.654</v>
      </c>
      <c r="W19" s="3">
        <v>318</v>
      </c>
      <c r="X19" s="3">
        <v>321</v>
      </c>
      <c r="Y19" s="3">
        <v>337</v>
      </c>
      <c r="Z19" s="3">
        <v>456</v>
      </c>
      <c r="AA19" s="3">
        <v>603</v>
      </c>
      <c r="AB19" s="3">
        <v>537</v>
      </c>
      <c r="AC19" s="3">
        <v>653</v>
      </c>
      <c r="AD19" s="3">
        <v>682.29</v>
      </c>
      <c r="AE19" s="3">
        <v>686.404</v>
      </c>
      <c r="AF19" s="3">
        <v>751</v>
      </c>
      <c r="AG19" s="3">
        <v>729.87599999999998</v>
      </c>
      <c r="AH19" s="3">
        <v>667.452</v>
      </c>
      <c r="AI19" s="3">
        <v>703.82899999999995</v>
      </c>
      <c r="AJ19" s="3">
        <v>647.26099999999997</v>
      </c>
    </row>
    <row r="20" spans="1:37">
      <c r="B20" s="4" t="s">
        <v>141</v>
      </c>
      <c r="C20" s="3">
        <v>65.373999999999995</v>
      </c>
      <c r="D20" s="3">
        <v>77.247</v>
      </c>
      <c r="E20" s="3">
        <v>81.700999999999993</v>
      </c>
      <c r="F20" s="3">
        <v>88.760999999999996</v>
      </c>
      <c r="G20" s="3">
        <v>98.972999999999999</v>
      </c>
      <c r="H20" s="3">
        <v>110.937</v>
      </c>
      <c r="I20" s="3">
        <v>99.698999999999998</v>
      </c>
      <c r="J20" s="3">
        <v>114.741</v>
      </c>
      <c r="K20" s="3">
        <v>101.904</v>
      </c>
      <c r="L20" s="3">
        <v>112.27500000000001</v>
      </c>
      <c r="M20" s="3">
        <v>133.422</v>
      </c>
      <c r="N20" s="3">
        <v>169.94399999999999</v>
      </c>
      <c r="O20" s="3">
        <v>199.095</v>
      </c>
      <c r="P20" s="3">
        <v>241.74799999999999</v>
      </c>
      <c r="Q20" s="3">
        <v>290.98</v>
      </c>
      <c r="R20" s="3">
        <v>336.53699999999998</v>
      </c>
      <c r="S20" s="3">
        <v>362.51900000000001</v>
      </c>
      <c r="T20" s="3">
        <v>383.55799999999999</v>
      </c>
      <c r="U20" s="3">
        <v>415.15800000000002</v>
      </c>
      <c r="V20" s="3">
        <v>478.89699999999999</v>
      </c>
      <c r="W20" s="3">
        <v>501</v>
      </c>
      <c r="X20" s="3">
        <v>513</v>
      </c>
      <c r="Y20" s="3">
        <v>551</v>
      </c>
      <c r="Z20" s="3">
        <f>Z18+Z19</f>
        <v>702</v>
      </c>
      <c r="AA20" s="3">
        <f>SUM(AA18:AA19)</f>
        <v>925</v>
      </c>
      <c r="AB20" s="3">
        <f>SUM(AB18:AB19)</f>
        <v>906</v>
      </c>
      <c r="AC20" s="3">
        <f>SUM(AC18:AC19)</f>
        <v>984</v>
      </c>
      <c r="AD20" s="3">
        <f t="shared" ref="AD20:AE20" si="7">SUM(AD18:AD19)</f>
        <v>1036.6569999999999</v>
      </c>
      <c r="AE20" s="3">
        <f t="shared" si="7"/>
        <v>1053.5</v>
      </c>
      <c r="AF20">
        <v>1240</v>
      </c>
      <c r="AG20" s="3">
        <v>1106.9079999999999</v>
      </c>
      <c r="AH20" s="3">
        <v>1029.364</v>
      </c>
      <c r="AI20" s="3">
        <v>1087.5740000000001</v>
      </c>
      <c r="AJ20" s="3">
        <v>1088.5039999999999</v>
      </c>
    </row>
    <row r="21" spans="1:37">
      <c r="C21" s="3"/>
      <c r="D21" s="3"/>
      <c r="E21" s="3"/>
      <c r="F21" s="3"/>
      <c r="G21" s="3"/>
      <c r="H21" s="3"/>
      <c r="I21" s="3"/>
      <c r="J21" s="3"/>
      <c r="K21" s="3"/>
      <c r="L21" s="3"/>
      <c r="M21" s="3"/>
      <c r="N21" s="3"/>
      <c r="O21" s="3"/>
      <c r="P21" s="3"/>
      <c r="Q21" s="3"/>
      <c r="R21" s="3"/>
      <c r="S21" s="3"/>
      <c r="T21" s="3"/>
      <c r="U21" s="3"/>
      <c r="V21" s="3"/>
      <c r="AD21" s="3"/>
      <c r="AE21" s="3"/>
    </row>
    <row r="22" spans="1:37">
      <c r="B22" t="s">
        <v>142</v>
      </c>
      <c r="C22" s="3">
        <v>-47.345999999999997</v>
      </c>
      <c r="D22" s="3">
        <v>-58.738999999999997</v>
      </c>
      <c r="E22" s="3">
        <v>-64.477000000000004</v>
      </c>
      <c r="F22" s="3">
        <v>-80.926000000000002</v>
      </c>
      <c r="G22" s="3">
        <v>-88.763000000000005</v>
      </c>
      <c r="H22" s="3">
        <v>-106.175</v>
      </c>
      <c r="I22" s="3">
        <v>-108.46</v>
      </c>
      <c r="J22" s="3">
        <v>-90.885000000000005</v>
      </c>
      <c r="K22" s="3">
        <v>-5.5839999999999996</v>
      </c>
      <c r="L22" s="3">
        <v>-11.792</v>
      </c>
      <c r="M22" s="3">
        <v>-30.553999999999998</v>
      </c>
      <c r="N22" s="3">
        <v>-13.353</v>
      </c>
      <c r="O22" s="3">
        <v>-43.966999999999999</v>
      </c>
      <c r="P22" s="3">
        <v>-28.753</v>
      </c>
      <c r="Q22" s="3">
        <v>-39.128999999999998</v>
      </c>
      <c r="R22" s="3">
        <v>-74.84</v>
      </c>
      <c r="S22" s="3">
        <v>-102.446</v>
      </c>
      <c r="T22" s="3">
        <v>-170.18799999999999</v>
      </c>
      <c r="U22" s="3">
        <v>-183.66200000000001</v>
      </c>
      <c r="V22" s="3">
        <v>-260.33300000000003</v>
      </c>
      <c r="W22" s="3">
        <v>-248</v>
      </c>
      <c r="X22" s="3">
        <v>-238</v>
      </c>
      <c r="Y22" s="3">
        <v>86</v>
      </c>
      <c r="Z22" s="3">
        <f>Z16-Z20</f>
        <v>-266.72200000000021</v>
      </c>
      <c r="AA22" s="3">
        <f>AA16-AA20</f>
        <v>-257.05400000000009</v>
      </c>
      <c r="AB22" s="3">
        <f>AB16-AB20</f>
        <v>-239.38500000000022</v>
      </c>
      <c r="AC22" s="3">
        <f>AC16-AC20</f>
        <v>-534.85999999999967</v>
      </c>
      <c r="AD22" s="3">
        <f t="shared" ref="AD22:AE22" si="8">AD16-AD20</f>
        <v>-597.87100000000032</v>
      </c>
      <c r="AE22" s="3">
        <f t="shared" si="8"/>
        <v>-596.97399999999971</v>
      </c>
      <c r="AF22" s="3">
        <v>-621</v>
      </c>
      <c r="AG22" s="3">
        <f t="shared" ref="AG22:AH22" si="9">+AG16-AG20</f>
        <v>416.75700000000006</v>
      </c>
      <c r="AH22" s="3">
        <f t="shared" si="9"/>
        <v>413.5359999999996</v>
      </c>
      <c r="AI22" s="3">
        <f>+AI16-AI20</f>
        <v>-521.83100000000013</v>
      </c>
      <c r="AJ22" s="3">
        <f>+AJ16-AJ20</f>
        <v>-167.45799999999963</v>
      </c>
    </row>
    <row r="23" spans="1:37">
      <c r="C23" s="3"/>
      <c r="D23" s="3"/>
      <c r="E23" s="3"/>
      <c r="F23" s="3"/>
      <c r="G23" s="3"/>
      <c r="H23" s="3"/>
      <c r="I23" s="3"/>
      <c r="J23" s="3"/>
      <c r="K23" s="3"/>
      <c r="L23" s="3"/>
      <c r="M23" s="3"/>
      <c r="N23" s="3"/>
      <c r="O23" s="3"/>
      <c r="P23" s="3"/>
      <c r="Q23" s="3"/>
      <c r="R23" s="3"/>
      <c r="S23" s="3"/>
      <c r="T23" s="3"/>
      <c r="U23" s="3"/>
      <c r="V23" s="3"/>
      <c r="AD23" s="3"/>
      <c r="AE23" s="3"/>
    </row>
    <row r="24" spans="1:37">
      <c r="B24" t="s">
        <v>143</v>
      </c>
      <c r="C24" s="3">
        <v>0.04</v>
      </c>
      <c r="D24" s="3">
        <v>4.5999999999999999E-2</v>
      </c>
      <c r="E24" s="3">
        <v>0.08</v>
      </c>
      <c r="F24" s="3">
        <v>4.5999999999999999E-2</v>
      </c>
      <c r="G24" s="3">
        <v>2.4999999999999994E-2</v>
      </c>
      <c r="H24" s="3">
        <v>-1.0000000000000009E-2</v>
      </c>
      <c r="I24" s="3">
        <v>-0.04</v>
      </c>
      <c r="J24" s="3">
        <v>5.8999999999999997E-2</v>
      </c>
      <c r="K24" s="3">
        <v>-0.108</v>
      </c>
      <c r="L24" s="3">
        <v>-20.076999999999998</v>
      </c>
      <c r="M24" s="3">
        <v>-6.4240000000000004</v>
      </c>
      <c r="N24" s="3">
        <v>-6.1360000000000001</v>
      </c>
      <c r="O24" s="3">
        <v>-11.741999999999999</v>
      </c>
      <c r="P24" s="3">
        <v>-30.771000000000001</v>
      </c>
      <c r="Q24" s="3">
        <v>-28.762</v>
      </c>
      <c r="R24" s="3">
        <v>-28.484999999999999</v>
      </c>
      <c r="S24" s="3">
        <v>-26.39</v>
      </c>
      <c r="T24" s="3">
        <v>-24.105</v>
      </c>
      <c r="U24" s="3">
        <v>-28.980999999999998</v>
      </c>
      <c r="V24" s="3">
        <v>-37.866999999999997</v>
      </c>
      <c r="W24" s="3">
        <v>-41</v>
      </c>
      <c r="X24" s="3">
        <v>-46</v>
      </c>
      <c r="Y24" s="3">
        <v>-47</v>
      </c>
      <c r="Z24" s="3">
        <v>-65</v>
      </c>
      <c r="AA24" s="3">
        <f>3-99</f>
        <v>-96</v>
      </c>
      <c r="AB24" s="3">
        <f>4.7-108.4</f>
        <v>-103.7</v>
      </c>
      <c r="AC24" s="3">
        <f>5.5-117</f>
        <v>-111.5</v>
      </c>
      <c r="AD24" s="3">
        <f>6.28-146.363</f>
        <v>-140.083</v>
      </c>
      <c r="AE24" s="3">
        <f>-149.546+5.214</f>
        <v>-144.33199999999999</v>
      </c>
      <c r="AF24" s="26">
        <v>-163</v>
      </c>
      <c r="AG24" s="3">
        <f>6.907-175.22</f>
        <v>-168.31299999999999</v>
      </c>
      <c r="AH24" s="3">
        <f>7.348-174.723</f>
        <v>-167.375</v>
      </c>
      <c r="AI24" s="3">
        <f>-157.453+8.762</f>
        <v>-148.691</v>
      </c>
      <c r="AJ24" s="3">
        <f>-171.979+10.362</f>
        <v>-161.61700000000002</v>
      </c>
    </row>
    <row r="25" spans="1:37">
      <c r="B25" t="s">
        <v>144</v>
      </c>
      <c r="C25" s="3">
        <v>-1.4850000000000001</v>
      </c>
      <c r="D25" s="3">
        <v>-7.0999999999999994E-2</v>
      </c>
      <c r="E25" s="3">
        <v>-0.59399999999999997</v>
      </c>
      <c r="F25" s="3">
        <v>-0.496</v>
      </c>
      <c r="G25" s="3">
        <v>-1.0760000000000001</v>
      </c>
      <c r="H25" s="3">
        <v>0.69099999999999995</v>
      </c>
      <c r="I25" s="3">
        <v>-2.1880000000000002</v>
      </c>
      <c r="J25" s="3">
        <v>0.745</v>
      </c>
      <c r="K25" s="3">
        <v>17.091000000000001</v>
      </c>
      <c r="L25" s="3">
        <v>1.6679999999999999</v>
      </c>
      <c r="M25" s="3">
        <v>-0.74</v>
      </c>
      <c r="N25" s="3">
        <v>4.5830000000000002</v>
      </c>
      <c r="O25" s="3">
        <v>6.718</v>
      </c>
      <c r="P25" s="3">
        <v>-1.226</v>
      </c>
      <c r="Q25" s="3">
        <v>-3.09</v>
      </c>
      <c r="R25" s="3">
        <v>-0.58899999999999997</v>
      </c>
      <c r="S25" s="3">
        <v>-22.305</v>
      </c>
      <c r="T25" s="3">
        <v>13.233000000000001</v>
      </c>
      <c r="U25" s="3">
        <v>-15.430999999999999</v>
      </c>
      <c r="V25" s="3">
        <v>-17.149000000000001</v>
      </c>
      <c r="W25" s="3">
        <v>10</v>
      </c>
      <c r="X25" s="3">
        <v>-5</v>
      </c>
      <c r="Y25" s="3">
        <v>-9</v>
      </c>
      <c r="Z25" s="3">
        <v>115</v>
      </c>
      <c r="AA25" s="3">
        <v>-18</v>
      </c>
      <c r="AB25" s="3">
        <v>-41.2</v>
      </c>
      <c r="AC25" s="3">
        <v>-24.4</v>
      </c>
      <c r="AD25" s="3">
        <v>-41.677</v>
      </c>
      <c r="AE25" s="3">
        <v>-37.716000000000001</v>
      </c>
      <c r="AF25" s="26">
        <v>51</v>
      </c>
      <c r="AG25" s="3">
        <v>22.876000000000001</v>
      </c>
      <c r="AH25" s="3">
        <v>-14.205</v>
      </c>
      <c r="AI25" s="3">
        <v>25.75</v>
      </c>
      <c r="AJ25" s="3">
        <v>-40.756</v>
      </c>
    </row>
    <row r="26" spans="1:37">
      <c r="B26" t="s">
        <v>145</v>
      </c>
      <c r="C26" s="3">
        <v>-48.790999999999997</v>
      </c>
      <c r="D26" s="3">
        <v>-58.764000000000003</v>
      </c>
      <c r="E26" s="3">
        <v>-64.991</v>
      </c>
      <c r="F26" s="3">
        <v>-81.376000000000005</v>
      </c>
      <c r="G26" s="3">
        <v>-89.813999999999993</v>
      </c>
      <c r="H26" s="3">
        <v>-105.494</v>
      </c>
      <c r="I26" s="3">
        <v>-110.688</v>
      </c>
      <c r="J26" s="3">
        <v>-90.081000000000003</v>
      </c>
      <c r="K26" s="3">
        <v>11.398999999999999</v>
      </c>
      <c r="L26" s="3">
        <v>-30.201000000000001</v>
      </c>
      <c r="M26" s="3">
        <v>-37.718000000000004</v>
      </c>
      <c r="N26" s="3">
        <v>-14.906000000000001</v>
      </c>
      <c r="O26" s="3">
        <v>-48.991</v>
      </c>
      <c r="P26" s="3">
        <v>-60.75</v>
      </c>
      <c r="Q26" s="3">
        <v>-70.980999999999995</v>
      </c>
      <c r="R26" s="3">
        <v>-103.914</v>
      </c>
      <c r="S26" s="3">
        <v>-151.14099999999999</v>
      </c>
      <c r="T26" s="3">
        <v>-181.06</v>
      </c>
      <c r="U26" s="3">
        <v>-228.07400000000001</v>
      </c>
      <c r="V26" s="3">
        <v>-315.34899999999999</v>
      </c>
      <c r="W26" s="3">
        <v>-278</v>
      </c>
      <c r="X26" s="3">
        <v>-290</v>
      </c>
      <c r="Y26" s="3">
        <v>30</v>
      </c>
      <c r="Z26" s="3">
        <f>Z22+Z24+Z25</f>
        <v>-216.72200000000021</v>
      </c>
      <c r="AA26" s="3">
        <f>AA22+AA24+AA25</f>
        <v>-371.05400000000009</v>
      </c>
      <c r="AB26" s="3">
        <f>AB22+AB24+AB25</f>
        <v>-384.2850000000002</v>
      </c>
      <c r="AC26" s="3">
        <f>AC22+AC24+AC25</f>
        <v>-670.75999999999965</v>
      </c>
      <c r="AD26" s="3">
        <f t="shared" ref="AD26:AE26" si="10">AD22+AD24+AD25</f>
        <v>-779.63100000000031</v>
      </c>
      <c r="AE26" s="3">
        <f t="shared" si="10"/>
        <v>-779.02199999999971</v>
      </c>
      <c r="AF26" s="26">
        <v>-729</v>
      </c>
      <c r="AG26" s="3">
        <v>271.32</v>
      </c>
      <c r="AH26" s="3">
        <f>+AH22+AH24+AH25</f>
        <v>231.95599999999959</v>
      </c>
      <c r="AI26" s="3">
        <f>+AI22+AI24+AI25</f>
        <v>-644.77200000000016</v>
      </c>
      <c r="AJ26" s="3">
        <f>+AJ22+AJ24+AJ25</f>
        <v>-369.83099999999968</v>
      </c>
    </row>
    <row r="27" spans="1:37">
      <c r="C27" s="3"/>
      <c r="D27" s="3"/>
      <c r="E27" s="3"/>
      <c r="F27" s="3"/>
      <c r="G27" s="3"/>
      <c r="H27" s="3"/>
      <c r="I27" s="3"/>
      <c r="J27" s="3"/>
      <c r="K27" s="3"/>
      <c r="L27" s="3"/>
      <c r="M27" s="3"/>
      <c r="N27" s="3"/>
      <c r="O27" s="3"/>
      <c r="P27" s="3"/>
      <c r="Q27" s="3"/>
      <c r="R27" s="3"/>
      <c r="S27" s="3"/>
      <c r="T27" s="3"/>
      <c r="U27" s="3"/>
      <c r="V27" s="3"/>
      <c r="AD27" s="3"/>
      <c r="AE27" s="3"/>
      <c r="AF27" s="26"/>
    </row>
    <row r="28" spans="1:37">
      <c r="B28" t="s">
        <v>146</v>
      </c>
      <c r="C28" s="3">
        <v>0.15</v>
      </c>
      <c r="D28" s="3">
        <v>0.13900000000000001</v>
      </c>
      <c r="E28" s="3">
        <v>8.6999999999999994E-2</v>
      </c>
      <c r="F28" s="3">
        <v>0.113</v>
      </c>
      <c r="G28" s="3">
        <v>5.8999999999999997E-2</v>
      </c>
      <c r="H28" s="3">
        <v>0.109</v>
      </c>
      <c r="I28" s="3">
        <v>0.11600000000000001</v>
      </c>
      <c r="J28" s="3">
        <v>-0.14799999999999999</v>
      </c>
      <c r="K28" s="3">
        <v>0.151</v>
      </c>
      <c r="L28" s="3">
        <v>0.30099999999999999</v>
      </c>
      <c r="M28" s="3">
        <v>0.77800000000000002</v>
      </c>
      <c r="N28" s="3">
        <v>1.3580000000000001</v>
      </c>
      <c r="O28" s="3">
        <v>0.80900000000000005</v>
      </c>
      <c r="P28" s="3">
        <v>1.1499999999999999</v>
      </c>
      <c r="Q28" s="3">
        <v>3.7269999999999999</v>
      </c>
      <c r="R28" s="3">
        <v>3.718</v>
      </c>
      <c r="S28" s="3">
        <v>3.04</v>
      </c>
      <c r="T28" s="3">
        <v>3.1669999999999998</v>
      </c>
      <c r="U28" s="3">
        <v>1.784</v>
      </c>
      <c r="V28" s="3">
        <v>5.048</v>
      </c>
      <c r="W28" s="3">
        <v>4</v>
      </c>
      <c r="X28" s="3">
        <v>4</v>
      </c>
      <c r="Y28" s="3">
        <v>8</v>
      </c>
      <c r="Z28" s="3">
        <v>11.5</v>
      </c>
      <c r="AA28" s="3">
        <v>25</v>
      </c>
      <c r="AB28" s="3">
        <v>15.5</v>
      </c>
      <c r="AC28" s="3">
        <v>-0.28000000000000003</v>
      </c>
      <c r="AD28" s="3">
        <v>-9.0939999999999994</v>
      </c>
      <c r="AE28" s="3">
        <v>5.6050000000000004</v>
      </c>
      <c r="AF28" s="26">
        <v>14</v>
      </c>
      <c r="AG28" s="3">
        <v>16.646999999999998</v>
      </c>
      <c r="AH28" s="3">
        <v>21.878</v>
      </c>
      <c r="AI28" s="3">
        <v>19.431000000000001</v>
      </c>
      <c r="AJ28" s="3">
        <v>22.873000000000001</v>
      </c>
    </row>
    <row r="29" spans="1:37">
      <c r="B29" t="s">
        <v>147</v>
      </c>
      <c r="C29" s="16">
        <f>+C28/C22</f>
        <v>-3.1681662653656067E-3</v>
      </c>
      <c r="D29" s="16">
        <f t="shared" ref="D29:AJ29" si="11">+D28/D22</f>
        <v>-2.3664005175437104E-3</v>
      </c>
      <c r="E29" s="16">
        <f t="shared" si="11"/>
        <v>-1.3493183615863019E-3</v>
      </c>
      <c r="F29" s="16">
        <f t="shared" si="11"/>
        <v>-1.396337394656847E-3</v>
      </c>
      <c r="G29" s="16">
        <f t="shared" si="11"/>
        <v>-6.646913691515608E-4</v>
      </c>
      <c r="H29" s="16">
        <f t="shared" si="11"/>
        <v>-1.0266070167176831E-3</v>
      </c>
      <c r="I29" s="16">
        <f t="shared" si="11"/>
        <v>-1.0695187165775401E-3</v>
      </c>
      <c r="J29" s="16">
        <f t="shared" si="11"/>
        <v>1.6284315343566044E-3</v>
      </c>
      <c r="K29" s="16">
        <f t="shared" si="11"/>
        <v>-2.7041547277936964E-2</v>
      </c>
      <c r="L29" s="16">
        <f t="shared" si="11"/>
        <v>-2.5525780189959293E-2</v>
      </c>
      <c r="M29" s="16">
        <f t="shared" si="11"/>
        <v>-2.5463114485828373E-2</v>
      </c>
      <c r="N29" s="16">
        <f t="shared" si="11"/>
        <v>-0.10169999251104622</v>
      </c>
      <c r="O29" s="16">
        <f t="shared" si="11"/>
        <v>-1.8400163759183026E-2</v>
      </c>
      <c r="P29" s="16">
        <f t="shared" si="11"/>
        <v>-3.9995826522449825E-2</v>
      </c>
      <c r="Q29" s="16">
        <f t="shared" si="11"/>
        <v>-9.5249048020649651E-2</v>
      </c>
      <c r="R29" s="16">
        <f t="shared" si="11"/>
        <v>-4.967931587386424E-2</v>
      </c>
      <c r="S29" s="16">
        <f t="shared" si="11"/>
        <v>-2.9674169806532223E-2</v>
      </c>
      <c r="T29" s="16">
        <f t="shared" si="11"/>
        <v>-1.8608832585141139E-2</v>
      </c>
      <c r="U29" s="16">
        <f t="shared" si="11"/>
        <v>-9.7134954427154224E-3</v>
      </c>
      <c r="V29" s="16">
        <f t="shared" si="11"/>
        <v>-1.9390549795838406E-2</v>
      </c>
      <c r="W29" s="16">
        <f t="shared" si="11"/>
        <v>-1.6129032258064516E-2</v>
      </c>
      <c r="X29" s="16">
        <f t="shared" si="11"/>
        <v>-1.680672268907563E-2</v>
      </c>
      <c r="Y29" s="16">
        <f t="shared" si="11"/>
        <v>9.3023255813953487E-2</v>
      </c>
      <c r="Z29" s="16">
        <f t="shared" si="11"/>
        <v>-4.3116053418915543E-2</v>
      </c>
      <c r="AA29" s="16">
        <f t="shared" si="11"/>
        <v>-9.7255829514421063E-2</v>
      </c>
      <c r="AB29" s="16">
        <f t="shared" si="11"/>
        <v>-6.4749253294901457E-2</v>
      </c>
      <c r="AC29" s="16">
        <f t="shared" si="11"/>
        <v>5.2350147702202485E-4</v>
      </c>
      <c r="AD29" s="16">
        <f t="shared" si="11"/>
        <v>1.5210639084350963E-2</v>
      </c>
      <c r="AE29" s="16">
        <f t="shared" si="11"/>
        <v>-9.389018617226217E-3</v>
      </c>
      <c r="AF29" s="16">
        <f t="shared" si="11"/>
        <v>-2.2544283413848631E-2</v>
      </c>
      <c r="AG29" s="16">
        <f t="shared" si="11"/>
        <v>3.9944140110424048E-2</v>
      </c>
      <c r="AH29" s="16">
        <f t="shared" si="11"/>
        <v>5.2904704789909517E-2</v>
      </c>
      <c r="AI29" s="16">
        <f t="shared" si="11"/>
        <v>-3.7236193326958336E-2</v>
      </c>
      <c r="AJ29" s="16">
        <f t="shared" si="11"/>
        <v>-0.13658947318133532</v>
      </c>
      <c r="AK29" s="10"/>
    </row>
    <row r="30" spans="1:37">
      <c r="B30" t="s">
        <v>148</v>
      </c>
      <c r="C30" s="3">
        <v>-48.941000000000003</v>
      </c>
      <c r="D30" s="3">
        <v>-58.902999999999999</v>
      </c>
      <c r="E30" s="3">
        <v>-65.078000000000003</v>
      </c>
      <c r="F30" s="3">
        <v>-81.489000000000004</v>
      </c>
      <c r="G30" s="3">
        <v>-89.873000000000005</v>
      </c>
      <c r="H30" s="3">
        <v>-105.60299999999999</v>
      </c>
      <c r="I30" s="3">
        <v>-110.804</v>
      </c>
      <c r="J30" s="3">
        <v>-89.933000000000007</v>
      </c>
      <c r="K30" s="3">
        <v>11.247999999999999</v>
      </c>
      <c r="L30" s="3">
        <v>-30.501999999999999</v>
      </c>
      <c r="M30" s="3">
        <v>-38.496000000000002</v>
      </c>
      <c r="N30" s="3">
        <v>-16.263999999999999</v>
      </c>
      <c r="O30" s="3">
        <v>-49.8</v>
      </c>
      <c r="P30" s="3">
        <v>-61.9</v>
      </c>
      <c r="Q30" s="3">
        <v>-74.707999999999998</v>
      </c>
      <c r="R30" s="3">
        <v>-107.63200000000001</v>
      </c>
      <c r="S30" s="3">
        <v>-154.18100000000001</v>
      </c>
      <c r="T30" s="3">
        <v>-184.227</v>
      </c>
      <c r="U30" s="3">
        <v>-229.858</v>
      </c>
      <c r="V30" s="3">
        <v>-320.39699999999999</v>
      </c>
      <c r="W30" s="3">
        <v>-282</v>
      </c>
      <c r="X30" s="3">
        <v>-293</v>
      </c>
      <c r="Y30" s="3">
        <v>22</v>
      </c>
      <c r="Z30" s="3">
        <f>Z26-Z28</f>
        <v>-228.22200000000021</v>
      </c>
      <c r="AA30" s="3">
        <f>AA26-AA28</f>
        <v>-396.05400000000009</v>
      </c>
      <c r="AB30" s="3">
        <f>AB26-AB28</f>
        <v>-399.7850000000002</v>
      </c>
      <c r="AC30" s="3">
        <f>AC26-AC28</f>
        <v>-670.47999999999968</v>
      </c>
      <c r="AD30" s="3">
        <f t="shared" ref="AD30:AE30" si="12">AD26-AD28</f>
        <v>-770.53700000000026</v>
      </c>
      <c r="AE30" s="3">
        <f t="shared" si="12"/>
        <v>-784.62699999999973</v>
      </c>
      <c r="AF30" s="95">
        <v>-743</v>
      </c>
      <c r="AG30" s="3">
        <v>254.673</v>
      </c>
      <c r="AH30" s="3">
        <v>210.078</v>
      </c>
      <c r="AI30" s="3">
        <v>-667.64499999999998</v>
      </c>
      <c r="AJ30" s="3">
        <v>-389.262</v>
      </c>
    </row>
    <row r="31" spans="1:37">
      <c r="AD31" s="3"/>
      <c r="AE31" s="3"/>
      <c r="AF31" s="26"/>
    </row>
    <row r="32" spans="1:37">
      <c r="A32" s="4" t="s">
        <v>149</v>
      </c>
      <c r="AD32" s="3"/>
      <c r="AE32" s="3"/>
      <c r="AF32" s="26"/>
    </row>
    <row r="33" spans="1:37">
      <c r="B33" t="s">
        <v>150</v>
      </c>
      <c r="C33" s="3">
        <v>100.655</v>
      </c>
      <c r="D33" s="3">
        <v>319.38</v>
      </c>
      <c r="E33" s="3">
        <v>213.328</v>
      </c>
      <c r="F33" s="3">
        <v>255.26599999999999</v>
      </c>
      <c r="G33" s="3">
        <v>218.57</v>
      </c>
      <c r="H33" s="3">
        <v>210.554</v>
      </c>
      <c r="I33" s="3">
        <v>85.692999999999998</v>
      </c>
      <c r="J33" s="3">
        <v>201.89</v>
      </c>
      <c r="K33" s="3">
        <v>214.417</v>
      </c>
      <c r="L33" s="3">
        <v>746.05700000000002</v>
      </c>
      <c r="M33" s="3">
        <v>795.11599999999999</v>
      </c>
      <c r="N33" s="3">
        <v>845.88900000000001</v>
      </c>
      <c r="O33" s="3">
        <v>2393.9079999999999</v>
      </c>
      <c r="P33" s="3">
        <v>2674.91</v>
      </c>
      <c r="Q33" s="3">
        <v>2370.7350000000001</v>
      </c>
      <c r="R33" s="3">
        <v>1905.713</v>
      </c>
      <c r="S33" s="3">
        <v>1510.076</v>
      </c>
      <c r="T33" s="3">
        <v>1150.673</v>
      </c>
      <c r="U33" s="3">
        <v>1426.0360000000001</v>
      </c>
      <c r="V33" s="3">
        <v>1196.9079999999999</v>
      </c>
      <c r="W33" s="3">
        <v>1442</v>
      </c>
      <c r="X33" s="3">
        <v>3246</v>
      </c>
      <c r="Y33" s="3">
        <v>3084</v>
      </c>
      <c r="Z33" s="3">
        <v>3393</v>
      </c>
      <c r="AA33" s="3">
        <v>4006</v>
      </c>
      <c r="AB33" s="3">
        <v>3035</v>
      </c>
      <c r="AC33" s="3">
        <v>3530</v>
      </c>
      <c r="AD33" s="3">
        <v>3367.9140000000002</v>
      </c>
      <c r="AE33" s="3">
        <v>2665.6729999999998</v>
      </c>
      <c r="AF33" s="26">
        <v>2236</v>
      </c>
      <c r="AG33" s="3">
        <v>2967.5039999999999</v>
      </c>
      <c r="AH33" s="3">
        <v>3685.6179999999999</v>
      </c>
      <c r="AI33" s="3">
        <v>2198.1689999999999</v>
      </c>
      <c r="AJ33" s="3">
        <v>4954.74</v>
      </c>
    </row>
    <row r="34" spans="1:37">
      <c r="B34" t="s">
        <v>151</v>
      </c>
      <c r="C34" s="3">
        <v>226.90600000000001</v>
      </c>
      <c r="D34" s="3">
        <v>417.75799999999998</v>
      </c>
      <c r="E34" s="3">
        <v>412.12099999999998</v>
      </c>
      <c r="F34" s="3">
        <v>372.83800000000002</v>
      </c>
      <c r="G34" s="3">
        <v>358.89699999999999</v>
      </c>
      <c r="H34" s="3">
        <v>317.12599999999998</v>
      </c>
      <c r="I34" s="3">
        <v>284.541</v>
      </c>
      <c r="J34" s="3">
        <v>524.76800000000003</v>
      </c>
      <c r="K34" s="3">
        <v>525.99300000000005</v>
      </c>
      <c r="L34" s="3">
        <v>1129.5419999999999</v>
      </c>
      <c r="M34" s="3">
        <v>1218.7660000000001</v>
      </c>
      <c r="N34" s="3">
        <v>1265.9390000000001</v>
      </c>
      <c r="O34" s="3">
        <v>3156.047</v>
      </c>
      <c r="P34" s="3">
        <v>3441.694</v>
      </c>
      <c r="Q34" s="3">
        <v>3362.9140000000002</v>
      </c>
      <c r="R34" s="3">
        <v>3198.6570000000002</v>
      </c>
      <c r="S34" s="3">
        <v>2921.4169999999999</v>
      </c>
      <c r="T34" s="3">
        <v>2628.6210000000001</v>
      </c>
      <c r="U34" s="3">
        <v>2998.7950000000001</v>
      </c>
      <c r="V34" s="3">
        <v>2791.5680000000002</v>
      </c>
      <c r="W34" s="3">
        <v>3240</v>
      </c>
      <c r="X34" s="3">
        <v>5204</v>
      </c>
      <c r="Y34" s="3">
        <v>5172</v>
      </c>
      <c r="Z34" s="3">
        <v>6259</v>
      </c>
      <c r="AA34" s="3">
        <v>7027</v>
      </c>
      <c r="AB34" s="3">
        <v>6359</v>
      </c>
      <c r="AC34" s="3">
        <v>7068</v>
      </c>
      <c r="AD34" s="3">
        <v>6570.52</v>
      </c>
      <c r="AE34" s="3">
        <v>6383.92</v>
      </c>
      <c r="AF34" s="26">
        <v>6700</v>
      </c>
      <c r="AG34" s="3">
        <v>7920.491</v>
      </c>
      <c r="AH34" s="3">
        <v>8306.3080000000009</v>
      </c>
      <c r="AI34" s="3">
        <v>7677.8220000000001</v>
      </c>
      <c r="AJ34" s="3">
        <v>2069.54</v>
      </c>
    </row>
    <row r="35" spans="1:37">
      <c r="B35" t="s">
        <v>152</v>
      </c>
      <c r="C35" s="3">
        <v>407.28899999999999</v>
      </c>
      <c r="D35" s="3">
        <v>646.15499999999997</v>
      </c>
      <c r="E35" s="3">
        <v>700.25</v>
      </c>
      <c r="F35" s="3">
        <v>713.44799999999998</v>
      </c>
      <c r="G35" s="3">
        <v>761.1</v>
      </c>
      <c r="H35" s="3">
        <v>776.86900000000003</v>
      </c>
      <c r="I35" s="3">
        <v>809.17700000000002</v>
      </c>
      <c r="J35" s="3">
        <v>1114.19</v>
      </c>
      <c r="K35" s="3">
        <v>1143.778</v>
      </c>
      <c r="L35" s="3">
        <v>1887.8440000000001</v>
      </c>
      <c r="M35" s="3">
        <v>2166.2089999999998</v>
      </c>
      <c r="N35" s="3">
        <v>2416.9299999999998</v>
      </c>
      <c r="O35" s="3">
        <v>4500.41</v>
      </c>
      <c r="P35" s="3">
        <v>5054.4629999999997</v>
      </c>
      <c r="Q35" s="3">
        <v>5437.5330000000004</v>
      </c>
      <c r="R35" s="3">
        <v>5849.2510000000002</v>
      </c>
      <c r="S35" s="3">
        <v>6120.03</v>
      </c>
      <c r="T35" s="3">
        <v>6468.1850000000004</v>
      </c>
      <c r="U35" s="3">
        <v>7547.4970000000003</v>
      </c>
      <c r="V35" s="3">
        <v>8092</v>
      </c>
      <c r="W35" s="3">
        <v>9192</v>
      </c>
      <c r="X35" s="3">
        <v>11869</v>
      </c>
      <c r="Y35" s="3">
        <v>12592</v>
      </c>
      <c r="Z35" s="3">
        <v>22664</v>
      </c>
      <c r="AA35" s="3">
        <v>25053</v>
      </c>
      <c r="AB35" s="3">
        <v>26043</v>
      </c>
      <c r="AC35" s="3">
        <v>28107</v>
      </c>
      <c r="AD35" s="3">
        <v>28655.371999999999</v>
      </c>
      <c r="AE35" s="3">
        <v>27271.429</v>
      </c>
      <c r="AF35" s="26">
        <v>27910</v>
      </c>
      <c r="AG35" s="3">
        <v>29262.713</v>
      </c>
      <c r="AH35" s="3">
        <v>29739.614000000001</v>
      </c>
      <c r="AI35" s="3">
        <v>28912.524000000001</v>
      </c>
      <c r="AJ35" s="3">
        <v>31872.597000000002</v>
      </c>
    </row>
    <row r="36" spans="1:37">
      <c r="B36" t="s">
        <v>153</v>
      </c>
      <c r="C36" s="3">
        <v>112.976</v>
      </c>
      <c r="D36" s="3">
        <v>138.73599999999999</v>
      </c>
      <c r="E36" s="3">
        <v>154.18100000000001</v>
      </c>
      <c r="F36" s="3">
        <v>191.339</v>
      </c>
      <c r="G36" s="3">
        <v>235.72200000000001</v>
      </c>
      <c r="H36" s="3">
        <v>286.52600000000001</v>
      </c>
      <c r="I36" s="3">
        <v>385.80599999999998</v>
      </c>
      <c r="J36" s="3">
        <v>539.10799999999995</v>
      </c>
      <c r="K36" s="3">
        <v>535.62300000000005</v>
      </c>
      <c r="L36" s="3">
        <v>486.54500000000002</v>
      </c>
      <c r="M36" s="3">
        <v>1169.4590000000001</v>
      </c>
      <c r="N36" s="3">
        <v>675.16</v>
      </c>
      <c r="O36" s="3">
        <v>1413.47</v>
      </c>
      <c r="P36" s="3">
        <v>1575.85</v>
      </c>
      <c r="Q36" s="3">
        <v>1839.777</v>
      </c>
      <c r="R36" s="3">
        <v>2107.1660000000002</v>
      </c>
      <c r="S36" s="3">
        <v>2192.3809999999999</v>
      </c>
      <c r="T36" s="3">
        <v>2384.3879999999999</v>
      </c>
      <c r="U36" s="3">
        <v>2553.7710000000002</v>
      </c>
      <c r="V36" s="3">
        <v>2816.2739999999999</v>
      </c>
      <c r="W36" s="3">
        <v>3188</v>
      </c>
      <c r="X36" s="3">
        <v>3766</v>
      </c>
      <c r="Y36" s="3">
        <v>4082</v>
      </c>
      <c r="Z36" s="3">
        <v>5827</v>
      </c>
      <c r="AA36" s="3">
        <v>6245</v>
      </c>
      <c r="AB36" s="3">
        <v>6546</v>
      </c>
      <c r="AC36" s="3">
        <v>6468</v>
      </c>
      <c r="AD36" s="3">
        <v>7674.67</v>
      </c>
      <c r="AE36" s="3">
        <v>8650.3590000000004</v>
      </c>
      <c r="AF36" s="26">
        <v>9141</v>
      </c>
      <c r="AG36" s="3">
        <v>9775.3240000000005</v>
      </c>
      <c r="AH36" s="3">
        <v>9992.1360000000004</v>
      </c>
      <c r="AI36" s="3">
        <v>9242.7999999999993</v>
      </c>
      <c r="AJ36" s="3">
        <v>9588.7729999999992</v>
      </c>
    </row>
    <row r="37" spans="1:37">
      <c r="B37" t="s">
        <v>154</v>
      </c>
      <c r="C37" s="3">
        <v>7.5090000000000003</v>
      </c>
      <c r="D37" s="3">
        <v>3.2250000000000001</v>
      </c>
      <c r="E37" s="3">
        <v>3.536</v>
      </c>
      <c r="F37" s="3">
        <v>8.8379999999999992</v>
      </c>
      <c r="G37" s="3">
        <v>8.6829999999999998</v>
      </c>
      <c r="H37" s="3">
        <v>8.5289999999999999</v>
      </c>
      <c r="I37" s="3">
        <v>2.4769999999999999</v>
      </c>
      <c r="J37" s="3">
        <v>3.06</v>
      </c>
      <c r="K37" s="3">
        <v>5.3230000000000004</v>
      </c>
      <c r="L37" s="3">
        <v>68.293000000000006</v>
      </c>
      <c r="M37" s="3">
        <v>131.298</v>
      </c>
      <c r="N37" s="3">
        <v>586.11900000000003</v>
      </c>
      <c r="O37" s="3">
        <v>1519.9670000000001</v>
      </c>
      <c r="P37" s="3">
        <v>1767.0239999999999</v>
      </c>
      <c r="Q37" s="3">
        <v>1786.635</v>
      </c>
      <c r="R37" s="3">
        <v>1806.518</v>
      </c>
      <c r="S37" s="3">
        <v>1888.672</v>
      </c>
      <c r="T37" s="3">
        <v>1988.0889999999999</v>
      </c>
      <c r="U37" s="3">
        <v>1966.3610000000001</v>
      </c>
      <c r="V37" s="3">
        <v>2040</v>
      </c>
      <c r="W37" s="3">
        <v>2484</v>
      </c>
      <c r="X37" s="3">
        <v>2620</v>
      </c>
      <c r="Y37" s="3">
        <v>2443</v>
      </c>
      <c r="Z37" s="3">
        <v>5860</v>
      </c>
      <c r="AA37" s="3">
        <v>7148</v>
      </c>
      <c r="AB37" s="3">
        <v>7122</v>
      </c>
      <c r="AC37" s="3">
        <v>9581</v>
      </c>
      <c r="AD37" s="3">
        <v>9418.3189999999995</v>
      </c>
      <c r="AE37" s="3">
        <v>8763.7260000000006</v>
      </c>
      <c r="AF37" s="26">
        <v>9571</v>
      </c>
      <c r="AG37" s="3">
        <v>9672.6129999999994</v>
      </c>
      <c r="AH37" s="3">
        <v>9403.6720000000005</v>
      </c>
      <c r="AI37" s="3">
        <v>9787.9500000000007</v>
      </c>
      <c r="AJ37" s="3">
        <v>11234.401</v>
      </c>
    </row>
    <row r="38" spans="1:37">
      <c r="B38" t="s">
        <v>155</v>
      </c>
      <c r="C38" s="3">
        <v>167.738</v>
      </c>
      <c r="D38" s="3">
        <v>348.452</v>
      </c>
      <c r="E38" s="3">
        <v>294.11799999999999</v>
      </c>
      <c r="F38" s="3">
        <v>224.04499999999999</v>
      </c>
      <c r="G38" s="3">
        <v>153.874</v>
      </c>
      <c r="H38" s="3">
        <v>62.215000000000003</v>
      </c>
      <c r="I38" s="3">
        <v>-27.875</v>
      </c>
      <c r="J38" s="3">
        <v>124.7</v>
      </c>
      <c r="K38" s="3">
        <v>168.583</v>
      </c>
      <c r="L38" s="3">
        <v>629.42600000000004</v>
      </c>
      <c r="M38" s="3">
        <v>564.16499999999996</v>
      </c>
      <c r="N38" s="3">
        <v>667.12</v>
      </c>
      <c r="O38" s="3">
        <v>912.05600000000004</v>
      </c>
      <c r="P38" s="3">
        <v>952.33299999999997</v>
      </c>
      <c r="Q38" s="3">
        <v>958.09400000000005</v>
      </c>
      <c r="R38" s="3">
        <v>911.71</v>
      </c>
      <c r="S38" s="3">
        <v>825.99699999999996</v>
      </c>
      <c r="T38" s="3">
        <v>715.93399999999997</v>
      </c>
      <c r="U38" s="3">
        <v>1314.6559999999999</v>
      </c>
      <c r="V38" s="3">
        <v>1089</v>
      </c>
      <c r="W38" s="3">
        <v>970</v>
      </c>
      <c r="X38" s="3">
        <v>2520</v>
      </c>
      <c r="Y38" s="3">
        <v>2680</v>
      </c>
      <c r="Z38" s="3">
        <v>4752</v>
      </c>
      <c r="AA38" s="3">
        <v>4987</v>
      </c>
      <c r="AB38" s="3">
        <v>5105</v>
      </c>
      <c r="AC38" s="3">
        <f>4711+1063</f>
        <v>5774</v>
      </c>
      <c r="AD38" s="3">
        <v>4237.2420000000002</v>
      </c>
      <c r="AE38" s="3">
        <v>4450.6949999999997</v>
      </c>
      <c r="AF38" s="26">
        <v>3906</v>
      </c>
      <c r="AG38" s="3">
        <v>4508.8379999999997</v>
      </c>
      <c r="AH38" s="3">
        <v>4923.2430000000004</v>
      </c>
      <c r="AI38" s="3">
        <v>4605.5959999999995</v>
      </c>
      <c r="AJ38" s="3">
        <v>5715.393</v>
      </c>
    </row>
    <row r="39" spans="1:37">
      <c r="AD39" s="3"/>
      <c r="AE39" s="3"/>
    </row>
    <row r="40" spans="1:37">
      <c r="A40" s="4" t="s">
        <v>156</v>
      </c>
      <c r="AD40" s="3"/>
      <c r="AE40" s="3"/>
    </row>
    <row r="41" spans="1:37">
      <c r="B41" t="s">
        <v>157</v>
      </c>
      <c r="C41" s="3">
        <v>20.260000000000002</v>
      </c>
      <c r="D41" s="3">
        <v>23.308</v>
      </c>
      <c r="E41" s="3">
        <v>18.25</v>
      </c>
      <c r="F41" s="3">
        <v>9.5389999999999997</v>
      </c>
      <c r="G41" s="3">
        <v>13.589</v>
      </c>
      <c r="H41" s="3">
        <v>11.023</v>
      </c>
      <c r="I41" s="3">
        <v>9.1639999999999997</v>
      </c>
      <c r="J41" s="3">
        <v>26.841999999999999</v>
      </c>
      <c r="K41" s="3">
        <v>46.139000000000003</v>
      </c>
      <c r="L41" s="3">
        <v>113.544</v>
      </c>
      <c r="M41" s="3">
        <v>47.58</v>
      </c>
      <c r="N41" s="3">
        <v>49.109000000000002</v>
      </c>
      <c r="O41" s="3">
        <v>72.38</v>
      </c>
      <c r="P41" s="3">
        <v>96.606999999999999</v>
      </c>
      <c r="Q41" s="3">
        <v>156.88900000000001</v>
      </c>
      <c r="R41" s="3">
        <v>226.60400000000001</v>
      </c>
      <c r="S41" s="3">
        <v>200.05199999999999</v>
      </c>
      <c r="T41" s="3">
        <v>138.648</v>
      </c>
      <c r="U41" s="3">
        <v>119.964</v>
      </c>
      <c r="V41" s="3">
        <v>169</v>
      </c>
      <c r="W41" s="3">
        <v>318</v>
      </c>
      <c r="X41" s="3">
        <v>179</v>
      </c>
      <c r="Y41" s="3">
        <v>327</v>
      </c>
      <c r="Z41" s="3">
        <v>499</v>
      </c>
      <c r="AA41" s="3">
        <v>440</v>
      </c>
      <c r="AB41" s="3">
        <v>453.5</v>
      </c>
      <c r="AC41" s="3">
        <v>607</v>
      </c>
      <c r="AD41" s="3">
        <v>515.38099999999997</v>
      </c>
      <c r="AE41" s="3">
        <v>652.84799999999996</v>
      </c>
      <c r="AF41" s="3">
        <v>570</v>
      </c>
      <c r="AG41" s="3">
        <v>1155.001</v>
      </c>
      <c r="AH41" s="3">
        <v>949.02200000000005</v>
      </c>
      <c r="AI41" s="3">
        <v>1046.9449999999999</v>
      </c>
      <c r="AJ41" s="3">
        <v>1147.0999999999999</v>
      </c>
    </row>
    <row r="42" spans="1:37">
      <c r="B42" t="s">
        <v>158</v>
      </c>
      <c r="C42" s="3">
        <v>50.823</v>
      </c>
      <c r="D42" s="3">
        <v>54.311999999999998</v>
      </c>
      <c r="E42" s="3">
        <v>49.216000000000001</v>
      </c>
      <c r="F42" s="3">
        <v>50.082000000000001</v>
      </c>
      <c r="G42" s="3">
        <v>55.427</v>
      </c>
      <c r="H42" s="3">
        <v>66.668999999999997</v>
      </c>
      <c r="I42" s="3">
        <v>159.048</v>
      </c>
      <c r="J42" s="3">
        <v>268.50400000000002</v>
      </c>
      <c r="K42" s="3">
        <v>237.61799999999999</v>
      </c>
      <c r="L42" s="3">
        <v>254.89099999999999</v>
      </c>
      <c r="M42" s="3">
        <v>347.54500000000002</v>
      </c>
      <c r="N42" s="3">
        <v>340.35500000000002</v>
      </c>
      <c r="O42" s="3">
        <v>450.73</v>
      </c>
      <c r="P42" s="3">
        <v>596.92700000000002</v>
      </c>
      <c r="Q42" s="3">
        <v>752.49199999999996</v>
      </c>
      <c r="R42" s="3">
        <v>953.67499999999995</v>
      </c>
      <c r="S42" s="3">
        <v>1054.8399999999999</v>
      </c>
      <c r="T42" s="3">
        <v>1212.279</v>
      </c>
      <c r="U42" s="3">
        <v>1293.7170000000001</v>
      </c>
      <c r="V42" s="3">
        <v>1278</v>
      </c>
      <c r="W42" s="3">
        <v>1302</v>
      </c>
      <c r="X42" s="3">
        <v>1610</v>
      </c>
      <c r="Y42" s="3">
        <v>1605</v>
      </c>
      <c r="Z42" s="3">
        <v>2067</v>
      </c>
      <c r="AA42" s="3">
        <v>2220</v>
      </c>
      <c r="AB42" s="3">
        <v>2438</v>
      </c>
      <c r="AC42" s="3">
        <v>2471</v>
      </c>
      <c r="AD42" s="3">
        <v>2263.5369999999998</v>
      </c>
      <c r="AE42" s="3">
        <v>2565.826</v>
      </c>
      <c r="AF42" s="3">
        <v>3325</v>
      </c>
      <c r="AG42" s="3">
        <v>3314.127</v>
      </c>
      <c r="AH42" s="3">
        <v>3113.4459999999999</v>
      </c>
      <c r="AI42" s="3">
        <v>3836.85</v>
      </c>
      <c r="AJ42" s="3">
        <v>3382.3580000000002</v>
      </c>
    </row>
    <row r="43" spans="1:37">
      <c r="B43" t="s">
        <v>159</v>
      </c>
      <c r="C43" s="3">
        <v>12.225</v>
      </c>
      <c r="D43" s="3">
        <v>9.5069999999999997</v>
      </c>
      <c r="E43" s="3">
        <v>10.962</v>
      </c>
      <c r="F43" s="3">
        <v>9.4139999999999997</v>
      </c>
      <c r="G43" s="3">
        <v>7.1029999999999998</v>
      </c>
      <c r="H43" s="3">
        <v>6.92</v>
      </c>
      <c r="I43" s="3">
        <v>7.7750000000000004</v>
      </c>
      <c r="J43" s="3">
        <v>8.4380000000000006</v>
      </c>
      <c r="K43" s="3">
        <v>11.1</v>
      </c>
      <c r="L43" s="3">
        <v>13.688000000000001</v>
      </c>
      <c r="M43" s="3">
        <v>27.26</v>
      </c>
      <c r="N43" s="3">
        <v>27.574000000000002</v>
      </c>
      <c r="O43" s="3">
        <v>48.869</v>
      </c>
      <c r="P43" s="3">
        <v>61.536000000000001</v>
      </c>
      <c r="Q43" s="3">
        <v>65.466999999999999</v>
      </c>
      <c r="R43" s="3">
        <v>94.718000000000004</v>
      </c>
      <c r="S43" s="3">
        <v>135.756</v>
      </c>
      <c r="T43" s="3">
        <v>106.43</v>
      </c>
      <c r="U43" s="3">
        <v>133.85499999999999</v>
      </c>
      <c r="V43" s="3">
        <v>125</v>
      </c>
      <c r="W43" s="3">
        <v>154</v>
      </c>
      <c r="X43" s="3">
        <v>145</v>
      </c>
      <c r="Y43" s="3">
        <v>133</v>
      </c>
      <c r="Z43" s="3">
        <v>194.5</v>
      </c>
      <c r="AA43" s="3">
        <v>271</v>
      </c>
      <c r="AB43" s="3">
        <v>313</v>
      </c>
      <c r="AC43" s="3">
        <v>321</v>
      </c>
      <c r="AD43" s="3">
        <v>268.36500000000001</v>
      </c>
      <c r="AE43" s="3">
        <v>379.37900000000002</v>
      </c>
      <c r="AF43" s="3">
        <v>422</v>
      </c>
      <c r="AG43" s="3">
        <v>325.23200000000003</v>
      </c>
      <c r="AH43" s="3">
        <v>365.67099999999999</v>
      </c>
      <c r="AI43" s="3">
        <v>464.90800000000002</v>
      </c>
      <c r="AJ43" s="3">
        <v>569.74800000000005</v>
      </c>
    </row>
    <row r="44" spans="1:37">
      <c r="B44" t="s">
        <v>160</v>
      </c>
      <c r="C44" s="3">
        <v>49.66</v>
      </c>
      <c r="D44" s="3">
        <v>57.198999999999998</v>
      </c>
      <c r="E44" s="3">
        <v>53.627000000000002</v>
      </c>
      <c r="F44" s="3">
        <v>56.140999999999998</v>
      </c>
      <c r="G44" s="3">
        <v>64.332999999999998</v>
      </c>
      <c r="H44" s="3">
        <v>78.600999999999999</v>
      </c>
      <c r="I44" s="3">
        <v>162.02500000000001</v>
      </c>
      <c r="J44" s="3">
        <v>303.38200000000001</v>
      </c>
      <c r="K44" s="3">
        <v>304.20400000000001</v>
      </c>
      <c r="L44" s="3">
        <v>262.22699999999998</v>
      </c>
      <c r="M44" s="3">
        <v>302.43900000000002</v>
      </c>
      <c r="N44" s="3">
        <v>303.96899999999999</v>
      </c>
      <c r="O44" s="3">
        <v>375.77800000000002</v>
      </c>
      <c r="P44" s="3">
        <v>443.548</v>
      </c>
      <c r="Q44" s="3">
        <v>649.36199999999997</v>
      </c>
      <c r="R44" s="3">
        <v>777.94600000000003</v>
      </c>
      <c r="S44" s="3">
        <v>732.33100000000002</v>
      </c>
      <c r="T44" s="3">
        <v>771.63699999999994</v>
      </c>
      <c r="U44" s="3">
        <v>824.86099999999999</v>
      </c>
      <c r="V44" s="3">
        <v>916</v>
      </c>
      <c r="W44" s="3">
        <v>1013</v>
      </c>
      <c r="X44" s="3">
        <v>1115</v>
      </c>
      <c r="Y44" s="3">
        <v>1606</v>
      </c>
      <c r="Z44" s="3">
        <v>1860</v>
      </c>
      <c r="AA44" s="3">
        <v>2075</v>
      </c>
      <c r="AB44" s="3">
        <v>2359</v>
      </c>
      <c r="AC44" s="3">
        <v>2385</v>
      </c>
      <c r="AD44" s="3">
        <v>2390</v>
      </c>
      <c r="AE44" s="3">
        <v>2604</v>
      </c>
      <c r="AF44" s="3">
        <v>3030</v>
      </c>
      <c r="AG44" s="3">
        <v>3596.9839999999999</v>
      </c>
      <c r="AH44" s="3">
        <v>3404.451</v>
      </c>
      <c r="AI44" s="3">
        <v>3248.8270000000002</v>
      </c>
      <c r="AJ44" s="3">
        <v>3133.587</v>
      </c>
    </row>
    <row r="45" spans="1:37">
      <c r="AD45" s="3"/>
      <c r="AE45" s="3"/>
    </row>
    <row r="46" spans="1:37">
      <c r="A46" s="4" t="s">
        <v>161</v>
      </c>
      <c r="AD46" s="3"/>
      <c r="AE46" s="3"/>
    </row>
    <row r="47" spans="1:37">
      <c r="B47" t="s">
        <v>162</v>
      </c>
      <c r="C47" s="3">
        <v>3.5169999999999999</v>
      </c>
      <c r="D47" s="3">
        <v>4.3179999999999996</v>
      </c>
      <c r="E47" s="3">
        <v>4.28</v>
      </c>
      <c r="F47" s="3">
        <v>4.8040000000000003</v>
      </c>
      <c r="G47" s="3">
        <v>4.1630000000000003</v>
      </c>
      <c r="H47" s="3">
        <v>4.3479999999999999</v>
      </c>
      <c r="I47" s="3">
        <v>7.5220000000000002</v>
      </c>
      <c r="J47" s="3">
        <v>12.792</v>
      </c>
      <c r="K47" s="3">
        <v>17.850000000000001</v>
      </c>
      <c r="L47" s="3">
        <v>22.198</v>
      </c>
      <c r="M47" s="3">
        <v>28.45</v>
      </c>
      <c r="N47" s="3">
        <v>37.585000000000001</v>
      </c>
      <c r="O47" s="3">
        <v>44.268000000000001</v>
      </c>
      <c r="P47" s="3">
        <v>54.715000000000003</v>
      </c>
      <c r="Q47" s="3">
        <v>64.971999999999994</v>
      </c>
      <c r="R47" s="3">
        <v>67.975999999999999</v>
      </c>
      <c r="S47" s="3">
        <v>77.111999999999995</v>
      </c>
      <c r="T47" s="3">
        <v>91.388999999999996</v>
      </c>
      <c r="U47" s="3">
        <v>110.366</v>
      </c>
      <c r="V47" s="3">
        <v>143.72300000000001</v>
      </c>
      <c r="W47" s="3">
        <v>156</v>
      </c>
      <c r="X47" s="3">
        <v>183</v>
      </c>
      <c r="Y47" s="3">
        <v>280</v>
      </c>
      <c r="Z47" s="3">
        <f>947-Y47-X47-W47</f>
        <v>328</v>
      </c>
      <c r="AA47" s="3">
        <v>377.6</v>
      </c>
      <c r="AB47" s="3">
        <v>765.5</v>
      </c>
      <c r="AC47" s="3">
        <v>1166</v>
      </c>
      <c r="AD47" s="3">
        <v>469.60599999999999</v>
      </c>
      <c r="AE47" s="3">
        <v>416.233</v>
      </c>
      <c r="AF47" s="3">
        <v>485.255</v>
      </c>
      <c r="AG47" s="3">
        <v>502.82499999999999</v>
      </c>
      <c r="AH47" s="3">
        <v>496.73700000000002</v>
      </c>
      <c r="AI47" s="3">
        <v>467.577</v>
      </c>
      <c r="AJ47" s="3">
        <v>578.572</v>
      </c>
      <c r="AK47" s="3"/>
    </row>
    <row r="48" spans="1:37">
      <c r="B48" t="s">
        <v>163</v>
      </c>
      <c r="C48" s="3">
        <v>-20.5</v>
      </c>
      <c r="D48" s="3">
        <v>-54.3</v>
      </c>
      <c r="E48" s="3">
        <v>-68.8</v>
      </c>
      <c r="F48" s="3">
        <v>-40.6</v>
      </c>
      <c r="G48" s="3">
        <v>-54.8</v>
      </c>
      <c r="H48" s="3">
        <v>-58</v>
      </c>
      <c r="I48" s="3">
        <v>-62.4</v>
      </c>
      <c r="J48" s="3">
        <v>-64.099999999999994</v>
      </c>
      <c r="K48" s="3">
        <v>-57.7</v>
      </c>
      <c r="L48" s="3">
        <v>-40.5</v>
      </c>
      <c r="M48" s="3">
        <v>-76.5</v>
      </c>
      <c r="N48" s="3">
        <v>-89.4</v>
      </c>
      <c r="O48" s="3">
        <v>-141.4</v>
      </c>
      <c r="P48" s="3">
        <v>-175.7</v>
      </c>
      <c r="Q48" s="3">
        <v>-284.2</v>
      </c>
      <c r="R48" s="3">
        <v>-368.7</v>
      </c>
      <c r="S48" s="3">
        <v>-426.1</v>
      </c>
      <c r="T48" s="3">
        <v>-405.2</v>
      </c>
      <c r="U48" s="3">
        <v>-392.4</v>
      </c>
      <c r="V48" s="3">
        <v>-411.2</v>
      </c>
      <c r="W48" s="3">
        <v>-217</v>
      </c>
      <c r="X48" s="3">
        <v>-295</v>
      </c>
      <c r="Y48" s="3">
        <v>-248</v>
      </c>
      <c r="Z48" s="3">
        <f>-1280-Y48-X48-W48</f>
        <v>-520</v>
      </c>
      <c r="AA48" s="3">
        <v>-552.6</v>
      </c>
      <c r="AB48" s="3">
        <f>-1500-AA48</f>
        <v>-947.4</v>
      </c>
      <c r="AC48" s="3">
        <f>-3200-AB48-AA48</f>
        <v>-1700</v>
      </c>
      <c r="AD48" s="3">
        <v>-787</v>
      </c>
      <c r="AE48" s="3">
        <v>-656</v>
      </c>
      <c r="AF48" s="3">
        <v>-609.81299999999999</v>
      </c>
      <c r="AG48" s="3">
        <v>-510.27100000000002</v>
      </c>
      <c r="AH48" s="3">
        <v>-324.97800000000001</v>
      </c>
      <c r="AI48" s="3">
        <v>-279.93200000000002</v>
      </c>
      <c r="AJ48" s="3">
        <v>-249.67699999999999</v>
      </c>
      <c r="AK48" s="3"/>
    </row>
    <row r="49" spans="1:37">
      <c r="B49" t="s">
        <v>164</v>
      </c>
      <c r="D49" s="3">
        <f t="shared" ref="D49:AJ49" si="13">+C41-D41</f>
        <v>-3.0479999999999983</v>
      </c>
      <c r="E49" s="3">
        <f t="shared" si="13"/>
        <v>5.0579999999999998</v>
      </c>
      <c r="F49" s="3">
        <f t="shared" si="13"/>
        <v>8.7110000000000003</v>
      </c>
      <c r="G49" s="3">
        <f t="shared" si="13"/>
        <v>-4.0500000000000007</v>
      </c>
      <c r="H49" s="3">
        <f t="shared" si="13"/>
        <v>2.5660000000000007</v>
      </c>
      <c r="I49" s="3">
        <f t="shared" si="13"/>
        <v>1.859</v>
      </c>
      <c r="J49" s="3">
        <f t="shared" si="13"/>
        <v>-17.677999999999997</v>
      </c>
      <c r="K49" s="3">
        <f t="shared" si="13"/>
        <v>-19.297000000000004</v>
      </c>
      <c r="L49" s="3">
        <f t="shared" si="13"/>
        <v>-67.405000000000001</v>
      </c>
      <c r="M49" s="3">
        <f t="shared" si="13"/>
        <v>65.963999999999999</v>
      </c>
      <c r="N49" s="3">
        <f t="shared" si="13"/>
        <v>-1.5290000000000035</v>
      </c>
      <c r="O49" s="3">
        <f t="shared" si="13"/>
        <v>-23.270999999999994</v>
      </c>
      <c r="P49" s="3">
        <f t="shared" si="13"/>
        <v>-24.227000000000004</v>
      </c>
      <c r="Q49" s="3">
        <f t="shared" si="13"/>
        <v>-60.282000000000011</v>
      </c>
      <c r="R49" s="3">
        <f t="shared" si="13"/>
        <v>-69.715000000000003</v>
      </c>
      <c r="S49" s="3">
        <f t="shared" si="13"/>
        <v>26.552000000000021</v>
      </c>
      <c r="T49" s="3">
        <f t="shared" si="13"/>
        <v>61.403999999999996</v>
      </c>
      <c r="U49" s="3">
        <f t="shared" si="13"/>
        <v>18.683999999999997</v>
      </c>
      <c r="V49" s="3">
        <f t="shared" si="13"/>
        <v>-49.036000000000001</v>
      </c>
      <c r="W49" s="3">
        <f t="shared" si="13"/>
        <v>-149</v>
      </c>
      <c r="X49" s="3">
        <f t="shared" si="13"/>
        <v>139</v>
      </c>
      <c r="Y49" s="3">
        <f t="shared" si="13"/>
        <v>-148</v>
      </c>
      <c r="Z49" s="3">
        <f t="shared" si="13"/>
        <v>-172</v>
      </c>
      <c r="AA49" s="3">
        <f t="shared" si="13"/>
        <v>59</v>
      </c>
      <c r="AB49" s="3">
        <f t="shared" si="13"/>
        <v>-13.5</v>
      </c>
      <c r="AC49" s="3">
        <f t="shared" si="13"/>
        <v>-153.5</v>
      </c>
      <c r="AD49" s="3">
        <f t="shared" si="13"/>
        <v>91.619000000000028</v>
      </c>
      <c r="AE49" s="3">
        <f t="shared" si="13"/>
        <v>-137.46699999999998</v>
      </c>
      <c r="AF49" s="3">
        <f t="shared" si="13"/>
        <v>82.847999999999956</v>
      </c>
      <c r="AG49" s="3">
        <f t="shared" si="13"/>
        <v>-585.00099999999998</v>
      </c>
      <c r="AH49" s="3">
        <f t="shared" si="13"/>
        <v>205.97899999999993</v>
      </c>
      <c r="AI49" s="3">
        <f t="shared" si="13"/>
        <v>-97.922999999999888</v>
      </c>
      <c r="AJ49" s="3">
        <f t="shared" si="13"/>
        <v>-100.15499999999997</v>
      </c>
      <c r="AK49" s="3"/>
    </row>
    <row r="50" spans="1:37">
      <c r="B50" t="s">
        <v>165</v>
      </c>
      <c r="D50" s="3">
        <f t="shared" ref="D50:AJ50" si="14">+C42-D42</f>
        <v>-3.4889999999999972</v>
      </c>
      <c r="E50" s="3">
        <f t="shared" si="14"/>
        <v>5.0959999999999965</v>
      </c>
      <c r="F50" s="3">
        <f t="shared" si="14"/>
        <v>-0.86599999999999966</v>
      </c>
      <c r="G50" s="3">
        <f t="shared" si="14"/>
        <v>-5.3449999999999989</v>
      </c>
      <c r="H50" s="3">
        <f t="shared" si="14"/>
        <v>-11.241999999999997</v>
      </c>
      <c r="I50" s="3">
        <f t="shared" si="14"/>
        <v>-92.379000000000005</v>
      </c>
      <c r="J50" s="3">
        <f t="shared" si="14"/>
        <v>-109.45600000000002</v>
      </c>
      <c r="K50" s="3">
        <f t="shared" si="14"/>
        <v>30.886000000000024</v>
      </c>
      <c r="L50" s="3">
        <f t="shared" si="14"/>
        <v>-17.272999999999996</v>
      </c>
      <c r="M50" s="3">
        <f t="shared" si="14"/>
        <v>-92.654000000000025</v>
      </c>
      <c r="N50" s="3">
        <f t="shared" si="14"/>
        <v>7.1899999999999977</v>
      </c>
      <c r="O50" s="3">
        <f t="shared" si="14"/>
        <v>-110.375</v>
      </c>
      <c r="P50" s="3">
        <f t="shared" si="14"/>
        <v>-146.197</v>
      </c>
      <c r="Q50" s="3">
        <f t="shared" si="14"/>
        <v>-155.56499999999994</v>
      </c>
      <c r="R50" s="3">
        <f t="shared" si="14"/>
        <v>-201.18299999999999</v>
      </c>
      <c r="S50" s="3">
        <f t="shared" si="14"/>
        <v>-101.16499999999996</v>
      </c>
      <c r="T50" s="3">
        <f t="shared" si="14"/>
        <v>-157.43900000000008</v>
      </c>
      <c r="U50" s="3">
        <f t="shared" si="14"/>
        <v>-81.438000000000102</v>
      </c>
      <c r="V50" s="3">
        <f t="shared" si="14"/>
        <v>15.717000000000098</v>
      </c>
      <c r="W50" s="3">
        <f t="shared" si="14"/>
        <v>-24</v>
      </c>
      <c r="X50" s="3">
        <f t="shared" si="14"/>
        <v>-308</v>
      </c>
      <c r="Y50" s="3">
        <f t="shared" si="14"/>
        <v>5</v>
      </c>
      <c r="Z50" s="3">
        <f t="shared" si="14"/>
        <v>-462</v>
      </c>
      <c r="AA50" s="3">
        <f t="shared" si="14"/>
        <v>-153</v>
      </c>
      <c r="AB50" s="3">
        <f t="shared" si="14"/>
        <v>-218</v>
      </c>
      <c r="AC50" s="3">
        <f t="shared" si="14"/>
        <v>-33</v>
      </c>
      <c r="AD50" s="3">
        <f t="shared" si="14"/>
        <v>207.46300000000019</v>
      </c>
      <c r="AE50" s="3">
        <f t="shared" si="14"/>
        <v>-302.28900000000021</v>
      </c>
      <c r="AF50" s="3">
        <f t="shared" si="14"/>
        <v>-759.17399999999998</v>
      </c>
      <c r="AG50" s="3">
        <f t="shared" si="14"/>
        <v>10.873000000000047</v>
      </c>
      <c r="AH50" s="3">
        <f t="shared" si="14"/>
        <v>200.68100000000004</v>
      </c>
      <c r="AI50" s="3">
        <f t="shared" si="14"/>
        <v>-723.404</v>
      </c>
      <c r="AJ50" s="3">
        <f t="shared" si="14"/>
        <v>454.49199999999973</v>
      </c>
      <c r="AK50" s="3"/>
    </row>
    <row r="51" spans="1:37">
      <c r="B51" t="s">
        <v>166</v>
      </c>
      <c r="D51" s="3">
        <f t="shared" ref="D51:AJ51" si="15">+C43-D43</f>
        <v>2.718</v>
      </c>
      <c r="E51" s="3">
        <f t="shared" si="15"/>
        <v>-1.4550000000000001</v>
      </c>
      <c r="F51" s="3">
        <f t="shared" si="15"/>
        <v>1.548</v>
      </c>
      <c r="G51" s="3">
        <f t="shared" si="15"/>
        <v>2.3109999999999999</v>
      </c>
      <c r="H51" s="3">
        <f t="shared" si="15"/>
        <v>0.18299999999999983</v>
      </c>
      <c r="I51" s="3">
        <f t="shared" si="15"/>
        <v>-0.85500000000000043</v>
      </c>
      <c r="J51" s="3">
        <f t="shared" si="15"/>
        <v>-0.66300000000000026</v>
      </c>
      <c r="K51" s="3">
        <f t="shared" si="15"/>
        <v>-2.661999999999999</v>
      </c>
      <c r="L51" s="3">
        <f t="shared" si="15"/>
        <v>-2.588000000000001</v>
      </c>
      <c r="M51" s="3">
        <f t="shared" si="15"/>
        <v>-13.572000000000001</v>
      </c>
      <c r="N51" s="3">
        <f t="shared" si="15"/>
        <v>-0.31400000000000006</v>
      </c>
      <c r="O51" s="3">
        <f t="shared" si="15"/>
        <v>-21.294999999999998</v>
      </c>
      <c r="P51" s="3">
        <f t="shared" si="15"/>
        <v>-12.667000000000002</v>
      </c>
      <c r="Q51" s="3">
        <f t="shared" si="15"/>
        <v>-3.9309999999999974</v>
      </c>
      <c r="R51" s="3">
        <f t="shared" si="15"/>
        <v>-29.251000000000005</v>
      </c>
      <c r="S51" s="3">
        <f t="shared" si="15"/>
        <v>-41.037999999999997</v>
      </c>
      <c r="T51" s="3">
        <f t="shared" si="15"/>
        <v>29.325999999999993</v>
      </c>
      <c r="U51" s="3">
        <f t="shared" si="15"/>
        <v>-27.424999999999983</v>
      </c>
      <c r="V51" s="3">
        <f t="shared" si="15"/>
        <v>8.8549999999999898</v>
      </c>
      <c r="W51" s="3">
        <f t="shared" si="15"/>
        <v>-29</v>
      </c>
      <c r="X51" s="3">
        <f t="shared" si="15"/>
        <v>9</v>
      </c>
      <c r="Y51" s="3">
        <f t="shared" si="15"/>
        <v>12</v>
      </c>
      <c r="Z51" s="3">
        <f t="shared" si="15"/>
        <v>-61.5</v>
      </c>
      <c r="AA51" s="3">
        <f t="shared" si="15"/>
        <v>-76.5</v>
      </c>
      <c r="AB51" s="3">
        <f t="shared" si="15"/>
        <v>-42</v>
      </c>
      <c r="AC51" s="3">
        <f t="shared" si="15"/>
        <v>-8</v>
      </c>
      <c r="AD51" s="3">
        <f t="shared" si="15"/>
        <v>52.634999999999991</v>
      </c>
      <c r="AE51" s="3">
        <f t="shared" si="15"/>
        <v>-111.01400000000001</v>
      </c>
      <c r="AF51" s="3">
        <f t="shared" si="15"/>
        <v>-42.620999999999981</v>
      </c>
      <c r="AG51" s="3">
        <f t="shared" si="15"/>
        <v>96.767999999999972</v>
      </c>
      <c r="AH51" s="3">
        <f t="shared" si="15"/>
        <v>-40.438999999999965</v>
      </c>
      <c r="AI51" s="3">
        <f t="shared" si="15"/>
        <v>-99.237000000000023</v>
      </c>
      <c r="AJ51" s="3">
        <f t="shared" si="15"/>
        <v>-104.84000000000003</v>
      </c>
      <c r="AK51" s="3"/>
    </row>
    <row r="52" spans="1:37">
      <c r="B52" t="s">
        <v>167</v>
      </c>
      <c r="D52" s="3">
        <f t="shared" ref="D52:AJ52" si="16">+D44-C44</f>
        <v>7.5390000000000015</v>
      </c>
      <c r="E52" s="3">
        <f t="shared" si="16"/>
        <v>-3.5719999999999956</v>
      </c>
      <c r="F52" s="3">
        <f t="shared" si="16"/>
        <v>2.5139999999999958</v>
      </c>
      <c r="G52" s="3">
        <f t="shared" si="16"/>
        <v>8.1920000000000002</v>
      </c>
      <c r="H52" s="3">
        <f t="shared" si="16"/>
        <v>14.268000000000001</v>
      </c>
      <c r="I52" s="3">
        <f t="shared" si="16"/>
        <v>83.424000000000007</v>
      </c>
      <c r="J52" s="3">
        <f t="shared" si="16"/>
        <v>141.357</v>
      </c>
      <c r="K52" s="3">
        <f t="shared" si="16"/>
        <v>0.82200000000000273</v>
      </c>
      <c r="L52" s="3">
        <f t="shared" si="16"/>
        <v>-41.977000000000032</v>
      </c>
      <c r="M52" s="3">
        <f t="shared" si="16"/>
        <v>40.212000000000046</v>
      </c>
      <c r="N52" s="3">
        <f t="shared" si="16"/>
        <v>1.5299999999999727</v>
      </c>
      <c r="O52" s="3">
        <f t="shared" si="16"/>
        <v>71.809000000000026</v>
      </c>
      <c r="P52" s="3">
        <f t="shared" si="16"/>
        <v>67.769999999999982</v>
      </c>
      <c r="Q52" s="3">
        <f t="shared" si="16"/>
        <v>205.81399999999996</v>
      </c>
      <c r="R52" s="3">
        <f t="shared" si="16"/>
        <v>128.58400000000006</v>
      </c>
      <c r="S52" s="3">
        <f t="shared" si="16"/>
        <v>-45.615000000000009</v>
      </c>
      <c r="T52" s="3">
        <f t="shared" si="16"/>
        <v>39.305999999999926</v>
      </c>
      <c r="U52" s="3">
        <f t="shared" si="16"/>
        <v>53.224000000000046</v>
      </c>
      <c r="V52" s="3">
        <f t="shared" si="16"/>
        <v>91.13900000000001</v>
      </c>
      <c r="W52" s="3">
        <f t="shared" si="16"/>
        <v>97</v>
      </c>
      <c r="X52" s="3">
        <f t="shared" si="16"/>
        <v>102</v>
      </c>
      <c r="Y52" s="3">
        <f t="shared" si="16"/>
        <v>491</v>
      </c>
      <c r="Z52" s="3">
        <f t="shared" si="16"/>
        <v>254</v>
      </c>
      <c r="AA52" s="3">
        <f t="shared" si="16"/>
        <v>215</v>
      </c>
      <c r="AB52" s="3">
        <f t="shared" si="16"/>
        <v>284</v>
      </c>
      <c r="AC52" s="3">
        <f t="shared" si="16"/>
        <v>26</v>
      </c>
      <c r="AD52" s="3">
        <f t="shared" si="16"/>
        <v>5</v>
      </c>
      <c r="AE52" s="3">
        <f t="shared" si="16"/>
        <v>214</v>
      </c>
      <c r="AF52" s="3">
        <f t="shared" si="16"/>
        <v>426</v>
      </c>
      <c r="AG52" s="3">
        <f t="shared" si="16"/>
        <v>566.98399999999992</v>
      </c>
      <c r="AH52" s="3">
        <f t="shared" si="16"/>
        <v>-192.5329999999999</v>
      </c>
      <c r="AI52" s="3">
        <f t="shared" si="16"/>
        <v>-155.6239999999998</v>
      </c>
      <c r="AJ52" s="3">
        <f t="shared" si="16"/>
        <v>-115.24000000000024</v>
      </c>
      <c r="AK52" s="3"/>
    </row>
    <row r="53" spans="1:37">
      <c r="AD53" s="3"/>
      <c r="AE53" s="3"/>
    </row>
    <row r="54" spans="1:37">
      <c r="A54" s="4" t="s">
        <v>168</v>
      </c>
      <c r="V54" s="7"/>
      <c r="AD54" s="3"/>
      <c r="AE54" s="3"/>
    </row>
    <row r="55" spans="1:37">
      <c r="B55" t="s">
        <v>169</v>
      </c>
      <c r="I55" s="6">
        <v>321</v>
      </c>
      <c r="J55" s="6">
        <v>2400</v>
      </c>
      <c r="K55" s="6">
        <v>4900</v>
      </c>
      <c r="L55" s="6">
        <v>5150</v>
      </c>
      <c r="M55" s="6">
        <v>5500</v>
      </c>
      <c r="N55" s="6">
        <v>6892</v>
      </c>
      <c r="O55" s="6">
        <v>6457</v>
      </c>
      <c r="P55" s="6">
        <v>7579</v>
      </c>
      <c r="Q55" s="6">
        <v>7785</v>
      </c>
      <c r="R55" s="6">
        <v>9834</v>
      </c>
      <c r="S55" s="6">
        <v>10045</v>
      </c>
      <c r="T55" s="6">
        <v>11532</v>
      </c>
      <c r="U55" s="6">
        <v>11574</v>
      </c>
      <c r="V55" s="6">
        <v>17192</v>
      </c>
      <c r="W55" s="6">
        <v>12420</v>
      </c>
      <c r="X55" s="6">
        <v>9745</v>
      </c>
      <c r="Y55" s="6">
        <v>15800</v>
      </c>
      <c r="Z55" s="6">
        <v>12700</v>
      </c>
      <c r="AA55" s="6">
        <v>13450</v>
      </c>
      <c r="AB55" s="6">
        <v>12000</v>
      </c>
      <c r="AC55" s="6">
        <v>14065</v>
      </c>
      <c r="AD55" s="3">
        <v>15200</v>
      </c>
      <c r="AE55" s="3">
        <v>11730</v>
      </c>
      <c r="AF55" s="8">
        <v>10930</v>
      </c>
    </row>
    <row r="56" spans="1:37">
      <c r="B56" t="s">
        <v>170</v>
      </c>
      <c r="I56" s="6"/>
      <c r="J56" s="6"/>
      <c r="K56" s="6"/>
      <c r="L56" s="6"/>
      <c r="M56" s="6"/>
      <c r="N56" s="6"/>
      <c r="O56" s="6"/>
      <c r="P56" s="6"/>
      <c r="Q56" s="6"/>
      <c r="R56" s="6"/>
      <c r="S56" s="6"/>
      <c r="T56" s="6"/>
      <c r="U56" s="6"/>
      <c r="V56" s="6">
        <v>208</v>
      </c>
      <c r="W56" s="6">
        <f>+W59-W55</f>
        <v>2400</v>
      </c>
      <c r="X56" s="6">
        <v>4625</v>
      </c>
      <c r="Y56" s="6">
        <v>8700</v>
      </c>
      <c r="Z56" s="6">
        <v>9500</v>
      </c>
      <c r="AA56" s="6">
        <v>11500</v>
      </c>
      <c r="AB56" s="6">
        <v>10000</v>
      </c>
      <c r="AC56" s="6">
        <v>11865</v>
      </c>
      <c r="AD56" s="3">
        <v>13120</v>
      </c>
      <c r="AE56" s="3">
        <v>10000</v>
      </c>
      <c r="AF56" s="8">
        <v>11370</v>
      </c>
      <c r="AG56" s="7"/>
      <c r="AH56" s="7"/>
    </row>
    <row r="57" spans="1:37">
      <c r="B57" t="s">
        <v>171</v>
      </c>
      <c r="I57" s="6">
        <f>+I55+I56</f>
        <v>321</v>
      </c>
      <c r="J57" s="6">
        <f t="shared" ref="J57:AF57" si="17">+J55+J56</f>
        <v>2400</v>
      </c>
      <c r="K57" s="6">
        <f t="shared" si="17"/>
        <v>4900</v>
      </c>
      <c r="L57" s="6">
        <f t="shared" si="17"/>
        <v>5150</v>
      </c>
      <c r="M57" s="6">
        <f t="shared" si="17"/>
        <v>5500</v>
      </c>
      <c r="N57" s="6">
        <f t="shared" si="17"/>
        <v>6892</v>
      </c>
      <c r="O57" s="6">
        <f t="shared" si="17"/>
        <v>6457</v>
      </c>
      <c r="P57" s="6">
        <f t="shared" si="17"/>
        <v>7579</v>
      </c>
      <c r="Q57" s="6">
        <f t="shared" si="17"/>
        <v>7785</v>
      </c>
      <c r="R57" s="6">
        <f t="shared" si="17"/>
        <v>9834</v>
      </c>
      <c r="S57" s="6">
        <f t="shared" si="17"/>
        <v>10045</v>
      </c>
      <c r="T57" s="6">
        <f t="shared" si="17"/>
        <v>11532</v>
      </c>
      <c r="U57" s="6">
        <f t="shared" si="17"/>
        <v>11574</v>
      </c>
      <c r="V57" s="6">
        <f t="shared" si="17"/>
        <v>17400</v>
      </c>
      <c r="W57" s="6">
        <f t="shared" si="17"/>
        <v>14820</v>
      </c>
      <c r="X57" s="6">
        <f t="shared" si="17"/>
        <v>14370</v>
      </c>
      <c r="Y57" s="6">
        <f t="shared" si="17"/>
        <v>24500</v>
      </c>
      <c r="Z57" s="6">
        <f t="shared" si="17"/>
        <v>22200</v>
      </c>
      <c r="AA57" s="6">
        <f t="shared" si="17"/>
        <v>24950</v>
      </c>
      <c r="AB57" s="6">
        <f t="shared" si="17"/>
        <v>22000</v>
      </c>
      <c r="AC57" s="6">
        <f t="shared" si="17"/>
        <v>25930</v>
      </c>
      <c r="AD57" s="6">
        <f t="shared" si="17"/>
        <v>28320</v>
      </c>
      <c r="AE57" s="6">
        <f t="shared" si="17"/>
        <v>21730</v>
      </c>
      <c r="AF57" s="6">
        <f t="shared" si="17"/>
        <v>22300</v>
      </c>
      <c r="AG57" s="3">
        <v>27710</v>
      </c>
      <c r="AH57" s="3">
        <v>27607</v>
      </c>
      <c r="AI57" s="3">
        <v>12091</v>
      </c>
      <c r="AJ57" s="3">
        <v>17722</v>
      </c>
    </row>
    <row r="58" spans="1:37">
      <c r="B58" t="s">
        <v>172</v>
      </c>
      <c r="I58" s="6"/>
      <c r="J58" s="6"/>
      <c r="K58" s="6"/>
      <c r="L58" s="6"/>
      <c r="M58" s="6"/>
      <c r="N58" s="6"/>
      <c r="O58" s="6"/>
      <c r="P58" s="6"/>
      <c r="Q58" s="6"/>
      <c r="R58" s="6"/>
      <c r="S58" s="6"/>
      <c r="T58" s="6"/>
      <c r="U58" s="6"/>
      <c r="V58" s="6"/>
      <c r="W58" s="6"/>
      <c r="X58" s="6"/>
      <c r="Y58" s="6"/>
      <c r="Z58" s="6"/>
      <c r="AA58" s="6"/>
      <c r="AB58" s="6"/>
      <c r="AC58" s="6">
        <v>220</v>
      </c>
      <c r="AD58" s="3">
        <v>1550</v>
      </c>
      <c r="AE58" s="3">
        <v>8180</v>
      </c>
      <c r="AF58" s="9">
        <v>18449</v>
      </c>
      <c r="AG58" s="3">
        <v>56065</v>
      </c>
      <c r="AH58" s="3">
        <v>63359</v>
      </c>
      <c r="AI58" s="3">
        <v>50928</v>
      </c>
      <c r="AJ58" s="3">
        <v>77634</v>
      </c>
    </row>
    <row r="59" spans="1:37">
      <c r="B59" t="s">
        <v>173</v>
      </c>
      <c r="I59" s="6">
        <v>321</v>
      </c>
      <c r="J59" s="6">
        <v>2400</v>
      </c>
      <c r="K59" s="6">
        <v>4900</v>
      </c>
      <c r="L59" s="6">
        <v>5150</v>
      </c>
      <c r="M59" s="6">
        <v>5500</v>
      </c>
      <c r="N59" s="6">
        <v>6892</v>
      </c>
      <c r="O59" s="6">
        <v>6457</v>
      </c>
      <c r="P59" s="6">
        <v>7579</v>
      </c>
      <c r="Q59" s="6">
        <v>7785</v>
      </c>
      <c r="R59" s="6">
        <v>9834</v>
      </c>
      <c r="S59" s="6">
        <v>10045</v>
      </c>
      <c r="T59" s="6">
        <v>11532</v>
      </c>
      <c r="U59" s="6">
        <v>11574</v>
      </c>
      <c r="V59" s="6">
        <v>17400</v>
      </c>
      <c r="W59" s="6">
        <v>14820</v>
      </c>
      <c r="X59" s="6">
        <v>14370</v>
      </c>
      <c r="Y59" s="6">
        <v>24500</v>
      </c>
      <c r="Z59" s="7">
        <f>SUM(Z55:Z56)</f>
        <v>22200</v>
      </c>
      <c r="AA59" s="7">
        <f>SUM(AA55:AA56)</f>
        <v>24950</v>
      </c>
      <c r="AB59" s="7">
        <f>SUM(AB55:AB56)</f>
        <v>22000</v>
      </c>
      <c r="AC59" s="7">
        <f t="shared" ref="AC59:AJ59" si="18">+AC57+AC58</f>
        <v>26150</v>
      </c>
      <c r="AD59" s="7">
        <f t="shared" si="18"/>
        <v>29870</v>
      </c>
      <c r="AE59" s="7">
        <f t="shared" si="18"/>
        <v>29910</v>
      </c>
      <c r="AF59" s="7">
        <f t="shared" si="18"/>
        <v>40749</v>
      </c>
      <c r="AG59" s="7">
        <f t="shared" si="18"/>
        <v>83775</v>
      </c>
      <c r="AH59" s="7">
        <f t="shared" si="18"/>
        <v>90966</v>
      </c>
      <c r="AI59" s="7">
        <f t="shared" si="18"/>
        <v>63019</v>
      </c>
      <c r="AJ59" s="7">
        <f t="shared" si="18"/>
        <v>95356</v>
      </c>
    </row>
    <row r="60" spans="1:37">
      <c r="B60" t="s">
        <v>174</v>
      </c>
      <c r="I60" s="6"/>
      <c r="J60" s="6"/>
      <c r="K60" s="5">
        <v>4900</v>
      </c>
      <c r="L60" s="5">
        <v>5150</v>
      </c>
      <c r="M60" s="5">
        <v>5500</v>
      </c>
      <c r="N60" s="5">
        <v>6892</v>
      </c>
      <c r="O60" s="5">
        <v>7535</v>
      </c>
      <c r="P60" s="5">
        <v>8763</v>
      </c>
      <c r="Q60" s="5">
        <v>7785</v>
      </c>
      <c r="R60" s="5">
        <v>11627</v>
      </c>
      <c r="S60" s="5">
        <v>11160</v>
      </c>
      <c r="T60" s="5">
        <v>12807</v>
      </c>
      <c r="U60" s="5">
        <v>13091</v>
      </c>
      <c r="V60" s="5">
        <v>14037</v>
      </c>
      <c r="W60" s="6">
        <v>14820</v>
      </c>
      <c r="X60" s="6">
        <v>18345</v>
      </c>
      <c r="Y60" s="6">
        <v>25185</v>
      </c>
      <c r="Z60" s="6">
        <v>24882</v>
      </c>
      <c r="AA60" s="6">
        <v>25418</v>
      </c>
      <c r="AB60" s="6">
        <v>25708</v>
      </c>
      <c r="AC60" s="7">
        <v>25336</v>
      </c>
      <c r="AD60" s="3">
        <v>24565</v>
      </c>
      <c r="AE60" s="3">
        <v>34494</v>
      </c>
      <c r="AF60" s="8">
        <v>53339</v>
      </c>
      <c r="AH60" s="3">
        <f>25161+61394</f>
        <v>86555</v>
      </c>
      <c r="AI60" s="3">
        <f>14163+62975</f>
        <v>77138</v>
      </c>
      <c r="AJ60" s="3">
        <f>14517+72531</f>
        <v>87048</v>
      </c>
    </row>
    <row r="61" spans="1:37">
      <c r="R61" s="102"/>
      <c r="V61" s="102"/>
      <c r="Z61" s="7"/>
      <c r="AD61" s="3"/>
      <c r="AE61" s="3"/>
      <c r="AF61" s="7"/>
    </row>
    <row r="62" spans="1:37">
      <c r="A62" s="4" t="s">
        <v>175</v>
      </c>
      <c r="AD62" s="3"/>
      <c r="AE62" s="3"/>
    </row>
    <row r="63" spans="1:37" s="25" customFormat="1">
      <c r="A63" s="24"/>
      <c r="B63" s="25" t="s">
        <v>176</v>
      </c>
      <c r="C63" s="25">
        <v>27.75</v>
      </c>
      <c r="D63" s="25">
        <v>29.13</v>
      </c>
      <c r="E63" s="25">
        <v>24.39</v>
      </c>
      <c r="F63" s="25">
        <v>28.56</v>
      </c>
      <c r="G63" s="25">
        <v>37.24</v>
      </c>
      <c r="H63" s="25">
        <v>31.29</v>
      </c>
      <c r="I63" s="25">
        <v>29.28</v>
      </c>
      <c r="J63" s="25">
        <v>33.869999999999997</v>
      </c>
      <c r="K63" s="25">
        <v>37.89</v>
      </c>
      <c r="L63" s="25">
        <v>107.36</v>
      </c>
      <c r="M63" s="25">
        <v>193.37</v>
      </c>
      <c r="N63" s="25">
        <v>150.43</v>
      </c>
      <c r="O63" s="25">
        <v>208.45</v>
      </c>
      <c r="P63" s="25">
        <v>240.06</v>
      </c>
      <c r="Q63" s="25">
        <v>242.68</v>
      </c>
      <c r="R63" s="25">
        <v>222.41</v>
      </c>
      <c r="S63" s="25">
        <v>188.77</v>
      </c>
      <c r="T63" s="25">
        <v>268.26</v>
      </c>
      <c r="U63" s="25">
        <v>248.4</v>
      </c>
      <c r="V63" s="25">
        <v>240.01</v>
      </c>
      <c r="W63" s="25">
        <v>229.77</v>
      </c>
      <c r="X63" s="25">
        <v>212.28</v>
      </c>
      <c r="Y63" s="25">
        <v>204.03</v>
      </c>
      <c r="Z63" s="25">
        <v>213.69</v>
      </c>
      <c r="AA63" s="25">
        <v>278.3</v>
      </c>
      <c r="AB63" s="25">
        <v>361.61</v>
      </c>
      <c r="AC63" s="25">
        <v>331.53</v>
      </c>
      <c r="AD63" s="25">
        <v>311.35000000000002</v>
      </c>
      <c r="AE63" s="25">
        <v>266.13</v>
      </c>
      <c r="AF63" s="25">
        <v>342.95</v>
      </c>
      <c r="AG63" s="3"/>
      <c r="AH63" s="3"/>
      <c r="AI63" s="3"/>
      <c r="AJ63" s="3"/>
    </row>
    <row r="64" spans="1:37" s="8" customFormat="1">
      <c r="B64" s="8" t="s">
        <v>177</v>
      </c>
      <c r="F64" s="9">
        <v>2985</v>
      </c>
      <c r="J64" s="8">
        <v>3868</v>
      </c>
      <c r="N64" s="8">
        <v>18516</v>
      </c>
      <c r="R64" s="8">
        <v>27954</v>
      </c>
      <c r="V64" s="8">
        <v>31543</v>
      </c>
      <c r="Z64" s="8">
        <v>34420</v>
      </c>
      <c r="AD64" s="8">
        <v>52330</v>
      </c>
      <c r="AE64" s="3"/>
      <c r="AG64" s="3"/>
      <c r="AH64" s="3"/>
      <c r="AI64" s="3"/>
      <c r="AJ64" s="3"/>
    </row>
    <row r="65" spans="1:36">
      <c r="B65" t="s">
        <v>178</v>
      </c>
      <c r="F65" s="10">
        <v>-0.27</v>
      </c>
      <c r="J65" s="10">
        <v>0.36</v>
      </c>
      <c r="N65" s="10">
        <v>0.31</v>
      </c>
      <c r="R65" s="10">
        <v>0</v>
      </c>
      <c r="V65" s="10">
        <v>-0.01</v>
      </c>
      <c r="Y65" s="10"/>
      <c r="AD65" s="3"/>
      <c r="AE65" s="3"/>
    </row>
    <row r="66" spans="1:36">
      <c r="F66" s="10"/>
      <c r="J66" s="10"/>
      <c r="N66" s="10"/>
      <c r="R66" s="10"/>
      <c r="V66" s="10"/>
      <c r="Y66" s="10"/>
      <c r="AD66" s="3"/>
      <c r="AE66" s="3"/>
    </row>
    <row r="68" spans="1:36">
      <c r="A68" s="23" t="s">
        <v>179</v>
      </c>
    </row>
    <row r="69" spans="1:36">
      <c r="C69" t="s">
        <v>180</v>
      </c>
      <c r="D69" t="s">
        <v>181</v>
      </c>
      <c r="E69" t="s">
        <v>182</v>
      </c>
      <c r="F69" t="s">
        <v>183</v>
      </c>
      <c r="G69" t="s">
        <v>184</v>
      </c>
      <c r="H69" t="s">
        <v>185</v>
      </c>
      <c r="I69" t="s">
        <v>186</v>
      </c>
      <c r="J69" t="s">
        <v>187</v>
      </c>
      <c r="K69" t="s">
        <v>188</v>
      </c>
      <c r="L69" t="s">
        <v>189</v>
      </c>
      <c r="M69" t="s">
        <v>190</v>
      </c>
      <c r="N69" t="s">
        <v>191</v>
      </c>
      <c r="O69" t="s">
        <v>192</v>
      </c>
      <c r="P69" t="s">
        <v>193</v>
      </c>
      <c r="Q69" t="s">
        <v>194</v>
      </c>
      <c r="R69" t="s">
        <v>195</v>
      </c>
      <c r="S69" t="s">
        <v>196</v>
      </c>
      <c r="T69" t="s">
        <v>197</v>
      </c>
      <c r="U69" t="s">
        <v>198</v>
      </c>
      <c r="V69" t="s">
        <v>199</v>
      </c>
      <c r="W69" t="s">
        <v>200</v>
      </c>
      <c r="X69" t="s">
        <v>201</v>
      </c>
      <c r="Y69" t="s">
        <v>202</v>
      </c>
      <c r="Z69" t="s">
        <v>203</v>
      </c>
      <c r="AA69" t="s">
        <v>204</v>
      </c>
      <c r="AB69" t="s">
        <v>205</v>
      </c>
      <c r="AC69" t="s">
        <v>206</v>
      </c>
      <c r="AD69" t="s">
        <v>207</v>
      </c>
      <c r="AE69" t="s">
        <v>208</v>
      </c>
      <c r="AF69" t="s">
        <v>209</v>
      </c>
      <c r="AG69" t="s">
        <v>210</v>
      </c>
      <c r="AH69" t="s">
        <v>211</v>
      </c>
      <c r="AI69" t="s">
        <v>212</v>
      </c>
      <c r="AJ69" t="s">
        <v>213</v>
      </c>
    </row>
    <row r="70" spans="1:36">
      <c r="B70" t="str">
        <f>+B22</f>
        <v>Earnings (loss) before interest and tax</v>
      </c>
      <c r="C70" s="3">
        <f>+C22</f>
        <v>-47.345999999999997</v>
      </c>
      <c r="D70" s="3">
        <f t="shared" ref="D70:AJ70" si="19">+D22</f>
        <v>-58.738999999999997</v>
      </c>
      <c r="E70" s="3">
        <f t="shared" si="19"/>
        <v>-64.477000000000004</v>
      </c>
      <c r="F70" s="3">
        <f t="shared" si="19"/>
        <v>-80.926000000000002</v>
      </c>
      <c r="G70" s="3">
        <f t="shared" si="19"/>
        <v>-88.763000000000005</v>
      </c>
      <c r="H70" s="3">
        <f t="shared" si="19"/>
        <v>-106.175</v>
      </c>
      <c r="I70" s="3">
        <f t="shared" si="19"/>
        <v>-108.46</v>
      </c>
      <c r="J70" s="3">
        <f t="shared" si="19"/>
        <v>-90.885000000000005</v>
      </c>
      <c r="K70" s="3">
        <f t="shared" si="19"/>
        <v>-5.5839999999999996</v>
      </c>
      <c r="L70" s="3">
        <f t="shared" si="19"/>
        <v>-11.792</v>
      </c>
      <c r="M70" s="3">
        <f t="shared" si="19"/>
        <v>-30.553999999999998</v>
      </c>
      <c r="N70" s="3">
        <f t="shared" si="19"/>
        <v>-13.353</v>
      </c>
      <c r="O70" s="3">
        <f t="shared" si="19"/>
        <v>-43.966999999999999</v>
      </c>
      <c r="P70" s="3">
        <f t="shared" si="19"/>
        <v>-28.753</v>
      </c>
      <c r="Q70" s="3">
        <f t="shared" si="19"/>
        <v>-39.128999999999998</v>
      </c>
      <c r="R70" s="3">
        <f t="shared" si="19"/>
        <v>-74.84</v>
      </c>
      <c r="S70" s="3">
        <f t="shared" si="19"/>
        <v>-102.446</v>
      </c>
      <c r="T70" s="3">
        <f t="shared" si="19"/>
        <v>-170.18799999999999</v>
      </c>
      <c r="U70" s="3">
        <f t="shared" si="19"/>
        <v>-183.66200000000001</v>
      </c>
      <c r="V70" s="3">
        <f t="shared" si="19"/>
        <v>-260.33300000000003</v>
      </c>
      <c r="W70" s="3">
        <f t="shared" si="19"/>
        <v>-248</v>
      </c>
      <c r="X70" s="3">
        <f t="shared" si="19"/>
        <v>-238</v>
      </c>
      <c r="Y70" s="3">
        <f t="shared" si="19"/>
        <v>86</v>
      </c>
      <c r="Z70" s="3">
        <f t="shared" si="19"/>
        <v>-266.72200000000021</v>
      </c>
      <c r="AA70" s="3">
        <f t="shared" si="19"/>
        <v>-257.05400000000009</v>
      </c>
      <c r="AB70" s="3">
        <f t="shared" si="19"/>
        <v>-239.38500000000022</v>
      </c>
      <c r="AC70" s="3">
        <f t="shared" si="19"/>
        <v>-534.85999999999967</v>
      </c>
      <c r="AD70" s="3">
        <f t="shared" si="19"/>
        <v>-597.87100000000032</v>
      </c>
      <c r="AE70" s="3">
        <f t="shared" si="19"/>
        <v>-596.97399999999971</v>
      </c>
      <c r="AF70" s="3">
        <f t="shared" si="19"/>
        <v>-621</v>
      </c>
      <c r="AG70" s="3">
        <f t="shared" si="19"/>
        <v>416.75700000000006</v>
      </c>
      <c r="AH70" s="3">
        <f t="shared" si="19"/>
        <v>413.5359999999996</v>
      </c>
      <c r="AI70" s="3">
        <f t="shared" si="19"/>
        <v>-521.83100000000013</v>
      </c>
      <c r="AJ70" s="3">
        <f t="shared" si="19"/>
        <v>-167.45799999999963</v>
      </c>
    </row>
    <row r="71" spans="1:36">
      <c r="A71" s="11" t="s">
        <v>214</v>
      </c>
      <c r="B71" s="103" t="str">
        <f>+B47</f>
        <v>Depreciation and amortization</v>
      </c>
      <c r="C71" s="3">
        <f>+C47</f>
        <v>3.5169999999999999</v>
      </c>
      <c r="D71" s="3">
        <f t="shared" ref="D71:AJ71" si="20">+D47</f>
        <v>4.3179999999999996</v>
      </c>
      <c r="E71" s="3">
        <f t="shared" si="20"/>
        <v>4.28</v>
      </c>
      <c r="F71" s="3">
        <f t="shared" si="20"/>
        <v>4.8040000000000003</v>
      </c>
      <c r="G71" s="3">
        <f t="shared" si="20"/>
        <v>4.1630000000000003</v>
      </c>
      <c r="H71" s="3">
        <f t="shared" si="20"/>
        <v>4.3479999999999999</v>
      </c>
      <c r="I71" s="3">
        <f t="shared" si="20"/>
        <v>7.5220000000000002</v>
      </c>
      <c r="J71" s="3">
        <f t="shared" si="20"/>
        <v>12.792</v>
      </c>
      <c r="K71" s="3">
        <f t="shared" si="20"/>
        <v>17.850000000000001</v>
      </c>
      <c r="L71" s="3">
        <f t="shared" si="20"/>
        <v>22.198</v>
      </c>
      <c r="M71" s="3">
        <f t="shared" si="20"/>
        <v>28.45</v>
      </c>
      <c r="N71" s="3">
        <f t="shared" si="20"/>
        <v>37.585000000000001</v>
      </c>
      <c r="O71" s="3">
        <f t="shared" si="20"/>
        <v>44.268000000000001</v>
      </c>
      <c r="P71" s="3">
        <f t="shared" si="20"/>
        <v>54.715000000000003</v>
      </c>
      <c r="Q71" s="3">
        <f t="shared" si="20"/>
        <v>64.971999999999994</v>
      </c>
      <c r="R71" s="3">
        <f t="shared" si="20"/>
        <v>67.975999999999999</v>
      </c>
      <c r="S71" s="3">
        <f t="shared" si="20"/>
        <v>77.111999999999995</v>
      </c>
      <c r="T71" s="3">
        <f t="shared" si="20"/>
        <v>91.388999999999996</v>
      </c>
      <c r="U71" s="3">
        <f t="shared" si="20"/>
        <v>110.366</v>
      </c>
      <c r="V71" s="3">
        <f t="shared" si="20"/>
        <v>143.72300000000001</v>
      </c>
      <c r="W71" s="3">
        <f t="shared" si="20"/>
        <v>156</v>
      </c>
      <c r="X71" s="3">
        <f t="shared" si="20"/>
        <v>183</v>
      </c>
      <c r="Y71" s="3">
        <f t="shared" si="20"/>
        <v>280</v>
      </c>
      <c r="Z71" s="3">
        <f t="shared" si="20"/>
        <v>328</v>
      </c>
      <c r="AA71" s="3">
        <f t="shared" si="20"/>
        <v>377.6</v>
      </c>
      <c r="AB71" s="3">
        <f t="shared" si="20"/>
        <v>765.5</v>
      </c>
      <c r="AC71" s="3">
        <f t="shared" si="20"/>
        <v>1166</v>
      </c>
      <c r="AD71" s="3">
        <f t="shared" si="20"/>
        <v>469.60599999999999</v>
      </c>
      <c r="AE71" s="3">
        <f t="shared" si="20"/>
        <v>416.233</v>
      </c>
      <c r="AF71" s="3">
        <f t="shared" si="20"/>
        <v>485.255</v>
      </c>
      <c r="AG71" s="3">
        <f t="shared" si="20"/>
        <v>502.82499999999999</v>
      </c>
      <c r="AH71" s="3">
        <f t="shared" si="20"/>
        <v>496.73700000000002</v>
      </c>
      <c r="AI71" s="3">
        <f t="shared" si="20"/>
        <v>467.577</v>
      </c>
      <c r="AJ71" s="3">
        <f t="shared" si="20"/>
        <v>578.572</v>
      </c>
    </row>
    <row r="72" spans="1:36">
      <c r="B72" t="s">
        <v>215</v>
      </c>
      <c r="C72" s="3">
        <f>+C70+C71</f>
        <v>-43.828999999999994</v>
      </c>
      <c r="D72" s="3">
        <f t="shared" ref="D72:AJ72" si="21">+D70+D71</f>
        <v>-54.420999999999999</v>
      </c>
      <c r="E72" s="3">
        <f t="shared" si="21"/>
        <v>-60.197000000000003</v>
      </c>
      <c r="F72" s="3">
        <f t="shared" si="21"/>
        <v>-76.122</v>
      </c>
      <c r="G72" s="3">
        <f t="shared" si="21"/>
        <v>-84.600000000000009</v>
      </c>
      <c r="H72" s="3">
        <f t="shared" si="21"/>
        <v>-101.827</v>
      </c>
      <c r="I72" s="3">
        <f t="shared" si="21"/>
        <v>-100.93799999999999</v>
      </c>
      <c r="J72" s="3">
        <f t="shared" si="21"/>
        <v>-78.093000000000004</v>
      </c>
      <c r="K72" s="3">
        <f t="shared" si="21"/>
        <v>12.266000000000002</v>
      </c>
      <c r="L72" s="3">
        <f t="shared" si="21"/>
        <v>10.406000000000001</v>
      </c>
      <c r="M72" s="3">
        <f t="shared" si="21"/>
        <v>-2.1039999999999992</v>
      </c>
      <c r="N72" s="3">
        <f t="shared" si="21"/>
        <v>24.231999999999999</v>
      </c>
      <c r="O72" s="3">
        <f t="shared" si="21"/>
        <v>0.30100000000000193</v>
      </c>
      <c r="P72" s="3">
        <f t="shared" si="21"/>
        <v>25.962000000000003</v>
      </c>
      <c r="Q72" s="3">
        <f t="shared" si="21"/>
        <v>25.842999999999996</v>
      </c>
      <c r="R72" s="3">
        <f t="shared" si="21"/>
        <v>-6.8640000000000043</v>
      </c>
      <c r="S72" s="3">
        <f t="shared" si="21"/>
        <v>-25.334000000000003</v>
      </c>
      <c r="T72" s="3">
        <f t="shared" si="21"/>
        <v>-78.798999999999992</v>
      </c>
      <c r="U72" s="3">
        <f t="shared" si="21"/>
        <v>-73.296000000000006</v>
      </c>
      <c r="V72" s="3">
        <f t="shared" si="21"/>
        <v>-116.61000000000001</v>
      </c>
      <c r="W72" s="3">
        <f t="shared" si="21"/>
        <v>-92</v>
      </c>
      <c r="X72" s="3">
        <f t="shared" si="21"/>
        <v>-55</v>
      </c>
      <c r="Y72" s="3">
        <f t="shared" si="21"/>
        <v>366</v>
      </c>
      <c r="Z72" s="3">
        <f t="shared" si="21"/>
        <v>61.277999999999793</v>
      </c>
      <c r="AA72" s="3">
        <f t="shared" si="21"/>
        <v>120.54599999999994</v>
      </c>
      <c r="AB72" s="3">
        <f t="shared" si="21"/>
        <v>526.11499999999978</v>
      </c>
      <c r="AC72" s="3">
        <f t="shared" si="21"/>
        <v>631.14000000000033</v>
      </c>
      <c r="AD72" s="3">
        <f t="shared" si="21"/>
        <v>-128.26500000000033</v>
      </c>
      <c r="AE72" s="3">
        <f t="shared" si="21"/>
        <v>-180.7409999999997</v>
      </c>
      <c r="AF72" s="3">
        <f t="shared" si="21"/>
        <v>-135.745</v>
      </c>
      <c r="AG72" s="3">
        <f t="shared" si="21"/>
        <v>919.58200000000011</v>
      </c>
      <c r="AH72" s="3">
        <f t="shared" si="21"/>
        <v>910.27299999999968</v>
      </c>
      <c r="AI72" s="3">
        <f t="shared" si="21"/>
        <v>-54.254000000000133</v>
      </c>
      <c r="AJ72" s="3">
        <f t="shared" si="21"/>
        <v>411.11400000000037</v>
      </c>
    </row>
    <row r="73" spans="1:36">
      <c r="A73" s="11" t="s">
        <v>116</v>
      </c>
      <c r="B73" t="s">
        <v>163</v>
      </c>
      <c r="C73" s="3">
        <f>+C48</f>
        <v>-20.5</v>
      </c>
      <c r="D73" s="3">
        <f t="shared" ref="D73:AJ73" si="22">+D48</f>
        <v>-54.3</v>
      </c>
      <c r="E73" s="3">
        <f t="shared" si="22"/>
        <v>-68.8</v>
      </c>
      <c r="F73" s="3">
        <f t="shared" si="22"/>
        <v>-40.6</v>
      </c>
      <c r="G73" s="3">
        <f t="shared" si="22"/>
        <v>-54.8</v>
      </c>
      <c r="H73" s="3">
        <f t="shared" si="22"/>
        <v>-58</v>
      </c>
      <c r="I73" s="3">
        <f t="shared" si="22"/>
        <v>-62.4</v>
      </c>
      <c r="J73" s="3">
        <f t="shared" si="22"/>
        <v>-64.099999999999994</v>
      </c>
      <c r="K73" s="3">
        <f t="shared" si="22"/>
        <v>-57.7</v>
      </c>
      <c r="L73" s="3">
        <f t="shared" si="22"/>
        <v>-40.5</v>
      </c>
      <c r="M73" s="3">
        <f t="shared" si="22"/>
        <v>-76.5</v>
      </c>
      <c r="N73" s="3">
        <f t="shared" si="22"/>
        <v>-89.4</v>
      </c>
      <c r="O73" s="3">
        <f t="shared" si="22"/>
        <v>-141.4</v>
      </c>
      <c r="P73" s="3">
        <f t="shared" si="22"/>
        <v>-175.7</v>
      </c>
      <c r="Q73" s="3">
        <f t="shared" si="22"/>
        <v>-284.2</v>
      </c>
      <c r="R73" s="3">
        <f t="shared" si="22"/>
        <v>-368.7</v>
      </c>
      <c r="S73" s="3">
        <f t="shared" si="22"/>
        <v>-426.1</v>
      </c>
      <c r="T73" s="3">
        <f t="shared" si="22"/>
        <v>-405.2</v>
      </c>
      <c r="U73" s="3">
        <f t="shared" si="22"/>
        <v>-392.4</v>
      </c>
      <c r="V73" s="3">
        <f t="shared" si="22"/>
        <v>-411.2</v>
      </c>
      <c r="W73" s="3">
        <f t="shared" si="22"/>
        <v>-217</v>
      </c>
      <c r="X73" s="3">
        <f t="shared" si="22"/>
        <v>-295</v>
      </c>
      <c r="Y73" s="3">
        <f t="shared" si="22"/>
        <v>-248</v>
      </c>
      <c r="Z73" s="3">
        <f t="shared" si="22"/>
        <v>-520</v>
      </c>
      <c r="AA73" s="3">
        <f t="shared" si="22"/>
        <v>-552.6</v>
      </c>
      <c r="AB73" s="3">
        <f t="shared" si="22"/>
        <v>-947.4</v>
      </c>
      <c r="AC73" s="3">
        <f t="shared" si="22"/>
        <v>-1700</v>
      </c>
      <c r="AD73" s="3">
        <f t="shared" si="22"/>
        <v>-787</v>
      </c>
      <c r="AE73" s="3">
        <f t="shared" si="22"/>
        <v>-656</v>
      </c>
      <c r="AF73" s="3">
        <f t="shared" si="22"/>
        <v>-609.81299999999999</v>
      </c>
      <c r="AG73" s="3">
        <f t="shared" si="22"/>
        <v>-510.27100000000002</v>
      </c>
      <c r="AH73" s="3">
        <f t="shared" si="22"/>
        <v>-324.97800000000001</v>
      </c>
      <c r="AI73" s="3">
        <f t="shared" si="22"/>
        <v>-279.93200000000002</v>
      </c>
      <c r="AJ73" s="3">
        <f t="shared" si="22"/>
        <v>-249.67699999999999</v>
      </c>
    </row>
    <row r="74" spans="1:36">
      <c r="A74" s="104" t="s">
        <v>216</v>
      </c>
      <c r="B74" s="103" t="s">
        <v>217</v>
      </c>
      <c r="C74">
        <f t="shared" ref="C74:AJ74" si="23">SUM(C49:C52)</f>
        <v>0</v>
      </c>
      <c r="D74">
        <f t="shared" si="23"/>
        <v>3.720000000000006</v>
      </c>
      <c r="E74">
        <f t="shared" si="23"/>
        <v>5.1270000000000007</v>
      </c>
      <c r="F74">
        <f t="shared" si="23"/>
        <v>11.906999999999996</v>
      </c>
      <c r="G74">
        <f t="shared" si="23"/>
        <v>1.1080000000000005</v>
      </c>
      <c r="H74">
        <f t="shared" si="23"/>
        <v>5.7750000000000039</v>
      </c>
      <c r="I74">
        <f t="shared" si="23"/>
        <v>-7.9510000000000076</v>
      </c>
      <c r="J74">
        <f t="shared" si="23"/>
        <v>13.559999999999988</v>
      </c>
      <c r="K74">
        <f t="shared" si="23"/>
        <v>9.7490000000000236</v>
      </c>
      <c r="L74">
        <f t="shared" si="23"/>
        <v>-129.24300000000002</v>
      </c>
      <c r="M74">
        <f t="shared" si="23"/>
        <v>-4.9999999999982947E-2</v>
      </c>
      <c r="N74">
        <f t="shared" si="23"/>
        <v>6.8769999999999669</v>
      </c>
      <c r="O74">
        <f t="shared" si="23"/>
        <v>-83.131999999999948</v>
      </c>
      <c r="P74">
        <f t="shared" si="23"/>
        <v>-115.32100000000003</v>
      </c>
      <c r="Q74">
        <f t="shared" si="23"/>
        <v>-13.963999999999999</v>
      </c>
      <c r="R74">
        <f t="shared" si="23"/>
        <v>-171.56499999999994</v>
      </c>
      <c r="S74">
        <f t="shared" si="23"/>
        <v>-161.26599999999996</v>
      </c>
      <c r="T74">
        <f t="shared" si="23"/>
        <v>-27.403000000000162</v>
      </c>
      <c r="U74">
        <f t="shared" si="23"/>
        <v>-36.955000000000041</v>
      </c>
      <c r="V74">
        <f t="shared" si="23"/>
        <v>66.675000000000097</v>
      </c>
      <c r="W74">
        <f t="shared" si="23"/>
        <v>-105</v>
      </c>
      <c r="X74">
        <f t="shared" si="23"/>
        <v>-58</v>
      </c>
      <c r="Y74">
        <f t="shared" si="23"/>
        <v>360</v>
      </c>
      <c r="Z74">
        <f t="shared" si="23"/>
        <v>-441.5</v>
      </c>
      <c r="AA74">
        <f t="shared" si="23"/>
        <v>44.5</v>
      </c>
      <c r="AB74">
        <f t="shared" si="23"/>
        <v>10.5</v>
      </c>
      <c r="AC74">
        <f t="shared" si="23"/>
        <v>-168.5</v>
      </c>
      <c r="AD74">
        <f t="shared" si="23"/>
        <v>356.71700000000021</v>
      </c>
      <c r="AE74">
        <f t="shared" si="23"/>
        <v>-336.77000000000021</v>
      </c>
      <c r="AF74">
        <f t="shared" si="23"/>
        <v>-292.947</v>
      </c>
      <c r="AG74">
        <f t="shared" si="23"/>
        <v>89.623999999999967</v>
      </c>
      <c r="AH74">
        <f t="shared" si="23"/>
        <v>173.6880000000001</v>
      </c>
      <c r="AI74">
        <f t="shared" si="23"/>
        <v>-1076.1879999999996</v>
      </c>
      <c r="AJ74">
        <f t="shared" si="23"/>
        <v>134.25699999999949</v>
      </c>
    </row>
    <row r="75" spans="1:36">
      <c r="B75" t="s">
        <v>218</v>
      </c>
      <c r="C75" s="3">
        <f>SUM(C70:C74)</f>
        <v>-108.15799999999999</v>
      </c>
      <c r="D75" s="3">
        <f t="shared" ref="D75:AJ75" si="24">SUM(D70:D74)</f>
        <v>-159.422</v>
      </c>
      <c r="E75" s="3">
        <f t="shared" si="24"/>
        <v>-184.06700000000001</v>
      </c>
      <c r="F75" s="3">
        <f t="shared" si="24"/>
        <v>-180.93700000000001</v>
      </c>
      <c r="G75" s="3">
        <f t="shared" si="24"/>
        <v>-222.892</v>
      </c>
      <c r="H75" s="3">
        <f t="shared" si="24"/>
        <v>-255.87899999999999</v>
      </c>
      <c r="I75" s="3">
        <f t="shared" si="24"/>
        <v>-272.22699999999998</v>
      </c>
      <c r="J75" s="3">
        <f t="shared" si="24"/>
        <v>-206.726</v>
      </c>
      <c r="K75" s="3">
        <f t="shared" si="24"/>
        <v>-23.418999999999976</v>
      </c>
      <c r="L75" s="3">
        <f t="shared" si="24"/>
        <v>-148.93100000000001</v>
      </c>
      <c r="M75" s="3">
        <f t="shared" si="24"/>
        <v>-80.757999999999981</v>
      </c>
      <c r="N75" s="3">
        <f t="shared" si="24"/>
        <v>-34.05900000000004</v>
      </c>
      <c r="O75" s="3">
        <f t="shared" si="24"/>
        <v>-223.92999999999995</v>
      </c>
      <c r="P75" s="3">
        <f t="shared" si="24"/>
        <v>-239.09700000000001</v>
      </c>
      <c r="Q75" s="3">
        <f t="shared" si="24"/>
        <v>-246.47800000000001</v>
      </c>
      <c r="R75" s="3">
        <f t="shared" si="24"/>
        <v>-553.99299999999994</v>
      </c>
      <c r="S75" s="3">
        <f t="shared" si="24"/>
        <v>-638.03399999999999</v>
      </c>
      <c r="T75" s="3">
        <f t="shared" si="24"/>
        <v>-590.20100000000014</v>
      </c>
      <c r="U75" s="3">
        <f t="shared" si="24"/>
        <v>-575.947</v>
      </c>
      <c r="V75" s="3">
        <f t="shared" si="24"/>
        <v>-577.745</v>
      </c>
      <c r="W75" s="3">
        <f t="shared" si="24"/>
        <v>-506</v>
      </c>
      <c r="X75" s="3">
        <f t="shared" si="24"/>
        <v>-463</v>
      </c>
      <c r="Y75" s="3">
        <f t="shared" si="24"/>
        <v>844</v>
      </c>
      <c r="Z75" s="3">
        <f t="shared" si="24"/>
        <v>-838.94400000000041</v>
      </c>
      <c r="AA75" s="3">
        <f t="shared" si="24"/>
        <v>-267.00800000000015</v>
      </c>
      <c r="AB75" s="3">
        <f t="shared" si="24"/>
        <v>115.32999999999959</v>
      </c>
      <c r="AC75" s="3">
        <f t="shared" si="24"/>
        <v>-606.21999999999935</v>
      </c>
      <c r="AD75" s="3">
        <f t="shared" si="24"/>
        <v>-686.81300000000044</v>
      </c>
      <c r="AE75" s="3">
        <f t="shared" si="24"/>
        <v>-1354.2519999999995</v>
      </c>
      <c r="AF75" s="3">
        <f t="shared" si="24"/>
        <v>-1174.25</v>
      </c>
      <c r="AG75" s="3">
        <f t="shared" si="24"/>
        <v>1418.5170000000003</v>
      </c>
      <c r="AH75" s="3">
        <f t="shared" si="24"/>
        <v>1669.2559999999994</v>
      </c>
      <c r="AI75" s="3">
        <f t="shared" si="24"/>
        <v>-1464.6279999999999</v>
      </c>
      <c r="AJ75" s="3">
        <f t="shared" si="24"/>
        <v>706.80800000000022</v>
      </c>
    </row>
    <row r="78" spans="1:36">
      <c r="A78" t="s">
        <v>219</v>
      </c>
    </row>
    <row r="79" spans="1:36">
      <c r="B79" t="s">
        <v>220</v>
      </c>
      <c r="K79" s="6"/>
      <c r="L79" s="6"/>
      <c r="M79" s="6"/>
      <c r="N79" s="6"/>
      <c r="O79" s="7">
        <f>SUM(K79:N79)</f>
        <v>0</v>
      </c>
    </row>
    <row r="80" spans="1:36">
      <c r="B80" t="s">
        <v>221</v>
      </c>
    </row>
    <row r="81" spans="1:2">
      <c r="B81" t="s">
        <v>222</v>
      </c>
    </row>
    <row r="83" spans="1:2">
      <c r="A83" t="s">
        <v>39</v>
      </c>
    </row>
    <row r="84" spans="1:2">
      <c r="B84" t="s">
        <v>223</v>
      </c>
    </row>
    <row r="85" spans="1:2">
      <c r="B85" t="s">
        <v>224</v>
      </c>
    </row>
    <row r="86" spans="1:2">
      <c r="B86" t="s">
        <v>225</v>
      </c>
    </row>
  </sheetData>
  <phoneticPr fontId="25"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 Sull</dc:creator>
  <cp:keywords/>
  <dc:description/>
  <cp:lastModifiedBy>Cate Reavis</cp:lastModifiedBy>
  <cp:revision/>
  <dcterms:created xsi:type="dcterms:W3CDTF">2016-11-20T14:53:12Z</dcterms:created>
  <dcterms:modified xsi:type="dcterms:W3CDTF">2024-06-26T18:12:13Z</dcterms:modified>
  <cp:category/>
  <cp:contentStatus/>
</cp:coreProperties>
</file>