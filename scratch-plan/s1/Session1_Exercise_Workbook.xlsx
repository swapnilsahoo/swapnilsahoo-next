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 (student)" sheetId="1" state="visible" r:id="rId1"/>
    <sheet xmlns:r="http://schemas.openxmlformats.org/officeDocument/2006/relationships" name="Solution (instructor)" sheetId="2" state="visible" r:id="rId2"/>
    <sheet xmlns:r="http://schemas.openxmlformats.org/officeDocument/2006/relationships" name="Segment (Exhibit 1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0.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color rgb="00B91C1C"/>
      <sz val="13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4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9" fontId="0" fillId="3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" customWidth="1" min="2" max="2"/>
    <col width="12" customWidth="1" min="3" max="3"/>
    <col width="13" customWidth="1" min="4" max="4"/>
    <col width="10" customWidth="1" min="5" max="5"/>
    <col width="16" customWidth="1" min="6" max="6"/>
    <col width="14" customWidth="1" min="7" max="7"/>
    <col width="17" customWidth="1" min="8" max="8"/>
    <col width="16" customWidth="1" min="9" max="9"/>
  </cols>
  <sheetData>
    <row r="1">
      <c r="A1" s="1" t="inlineStr">
        <is>
          <t>Session 1 - competitor margins and R&amp;D intensity</t>
        </is>
      </c>
    </row>
    <row r="2">
      <c r="A2" t="inlineStr">
        <is>
          <t>Figures from the assigned case workbook, FY2017, $ millions. Compute columns F, G, H.</t>
        </is>
      </c>
    </row>
    <row r="3">
      <c r="A3" t="inlineStr">
        <is>
          <t>Gross margin = D/C.   Operating margin = F_input/C.   R&amp;D % = E/C.</t>
        </is>
      </c>
    </row>
    <row r="5">
      <c r="A5" s="2" t="inlineStr">
        <is>
          <t>Firm</t>
        </is>
      </c>
      <c r="B5" s="2" t="inlineStr"/>
      <c r="C5" s="2" t="inlineStr">
        <is>
          <t>Revenue</t>
        </is>
      </c>
      <c r="D5" s="2" t="inlineStr">
        <is>
          <t>Gross profit</t>
        </is>
      </c>
      <c r="E5" s="2" t="inlineStr">
        <is>
          <t>R&amp;D</t>
        </is>
      </c>
      <c r="F5" s="2" t="inlineStr">
        <is>
          <t>Operating income</t>
        </is>
      </c>
      <c r="G5" s="2" t="inlineStr">
        <is>
          <t>Gross margin %</t>
        </is>
      </c>
      <c r="H5" s="2" t="inlineStr">
        <is>
          <t>Operating margin %</t>
        </is>
      </c>
      <c r="I5" s="2" t="inlineStr">
        <is>
          <t>R&amp;D % of revenue</t>
        </is>
      </c>
    </row>
    <row r="6">
      <c r="A6" s="3" t="inlineStr">
        <is>
          <t>Audi</t>
        </is>
      </c>
      <c r="B6" s="3" t="n"/>
      <c r="C6" s="3" t="n">
        <v>72199.8</v>
      </c>
      <c r="D6" s="3" t="n">
        <v>12109.8</v>
      </c>
      <c r="E6" s="3" t="n">
        <v>4310.8</v>
      </c>
      <c r="F6" s="3" t="n">
        <v>6624.6</v>
      </c>
      <c r="G6" s="3" t="n"/>
      <c r="H6" s="3" t="n"/>
      <c r="I6" s="3" t="n"/>
    </row>
    <row r="7">
      <c r="A7" s="3" t="inlineStr">
        <is>
          <t>BMW</t>
        </is>
      </c>
      <c r="B7" s="3" t="n"/>
      <c r="C7" s="3" t="n">
        <v>118489.4</v>
      </c>
      <c r="D7" s="3" t="n">
        <v>22055.7</v>
      </c>
      <c r="E7" s="3" t="n">
        <v>4423.6</v>
      </c>
      <c r="F7" s="3" t="n">
        <v>11642.7</v>
      </c>
      <c r="G7" s="3" t="n"/>
      <c r="H7" s="3" t="n"/>
      <c r="I7" s="3" t="n"/>
    </row>
    <row r="8">
      <c r="A8" s="3" t="inlineStr">
        <is>
          <t>Daimler</t>
        </is>
      </c>
      <c r="B8" s="3" t="n"/>
      <c r="C8" s="3" t="n">
        <v>197322.3</v>
      </c>
      <c r="D8" s="3" t="n">
        <v>39440.4</v>
      </c>
      <c r="E8" s="3" t="n">
        <v>7084.5</v>
      </c>
      <c r="F8" s="3" t="n">
        <v>15563.2</v>
      </c>
      <c r="G8" s="3" t="n"/>
      <c r="H8" s="3" t="n"/>
      <c r="I8" s="3" t="n"/>
    </row>
    <row r="9">
      <c r="A9" s="3" t="inlineStr">
        <is>
          <t>Fiat Chrysler</t>
        </is>
      </c>
      <c r="B9" s="3" t="n"/>
      <c r="C9" s="3" t="n">
        <v>133028.3</v>
      </c>
      <c r="D9" s="3" t="n">
        <v>20359</v>
      </c>
      <c r="E9" s="3" t="n">
        <v>3746.4</v>
      </c>
      <c r="F9" s="3" t="n">
        <v>8447.4</v>
      </c>
      <c r="G9" s="3" t="n"/>
      <c r="H9" s="3" t="n"/>
      <c r="I9" s="3" t="n"/>
    </row>
    <row r="10">
      <c r="A10" s="3" t="inlineStr">
        <is>
          <t>Ford</t>
        </is>
      </c>
      <c r="B10" s="3" t="n"/>
      <c r="C10" s="3" t="n">
        <v>156776</v>
      </c>
      <c r="D10" s="3" t="n">
        <v>16579</v>
      </c>
      <c r="E10" s="3" t="n">
        <v>8000</v>
      </c>
      <c r="F10" s="3" t="n">
        <v>5052</v>
      </c>
      <c r="G10" s="3" t="n"/>
      <c r="H10" s="3" t="n"/>
      <c r="I10" s="3" t="n"/>
    </row>
    <row r="11">
      <c r="A11" s="3" t="inlineStr">
        <is>
          <t>GM</t>
        </is>
      </c>
      <c r="B11" s="3" t="n"/>
      <c r="C11" s="3" t="n">
        <v>145588</v>
      </c>
      <c r="D11" s="3" t="n">
        <v>20164</v>
      </c>
      <c r="E11" s="3" t="n">
        <v>7300</v>
      </c>
      <c r="F11" s="3" t="n">
        <v>10703</v>
      </c>
      <c r="G11" s="3" t="n"/>
      <c r="H11" s="3" t="n"/>
      <c r="I11" s="3" t="n"/>
    </row>
    <row r="12">
      <c r="A12" s="3" t="inlineStr">
        <is>
          <t>Honda</t>
        </is>
      </c>
      <c r="B12" s="3" t="n"/>
      <c r="C12" s="3" t="n">
        <v>125553.4</v>
      </c>
      <c r="D12" s="3" t="n">
        <v>28101.8</v>
      </c>
      <c r="E12" s="3" t="n">
        <v>6429.3</v>
      </c>
      <c r="F12" s="3" t="n">
        <v>7540</v>
      </c>
      <c r="G12" s="3" t="n"/>
      <c r="H12" s="3" t="n"/>
      <c r="I12" s="3" t="n"/>
    </row>
    <row r="13">
      <c r="A13" s="3" t="inlineStr">
        <is>
          <t>Nissan</t>
        </is>
      </c>
      <c r="B13" s="3" t="n"/>
      <c r="C13" s="3" t="n">
        <v>105112.5</v>
      </c>
      <c r="D13" s="3" t="n">
        <v>20605.3</v>
      </c>
      <c r="E13" s="3" t="n">
        <v>6240.7</v>
      </c>
      <c r="F13" s="3" t="n">
        <v>6656.8</v>
      </c>
      <c r="G13" s="3" t="n"/>
      <c r="H13" s="3" t="n"/>
      <c r="I13" s="3" t="n"/>
    </row>
    <row r="14">
      <c r="A14" s="4" t="inlineStr">
        <is>
          <t>Tesla</t>
        </is>
      </c>
      <c r="B14" s="4" t="n"/>
      <c r="C14" s="4" t="n">
        <v>11758.8</v>
      </c>
      <c r="D14" s="4" t="n">
        <v>2222.5</v>
      </c>
      <c r="E14" s="4" t="n">
        <v>1378.1</v>
      </c>
      <c r="F14" s="4" t="n">
        <v>-1606.3</v>
      </c>
      <c r="G14" s="4" t="n"/>
      <c r="H14" s="4" t="n"/>
      <c r="I14" s="4" t="n"/>
    </row>
    <row r="15">
      <c r="A15" s="5" t="inlineStr">
        <is>
          <t>Median excl. Tesla</t>
        </is>
      </c>
      <c r="G15">
        <f>MEDIAN(G6:G13)</f>
        <v/>
      </c>
      <c r="H15">
        <f>MEDIAN(H6:H13)</f>
        <v/>
      </c>
      <c r="I15">
        <f>MEDIAN(I6:I13)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6" customWidth="1" min="1" max="1"/>
    <col width="2" customWidth="1" min="2" max="2"/>
    <col width="12" customWidth="1" min="3" max="3"/>
    <col width="13" customWidth="1" min="4" max="4"/>
    <col width="10" customWidth="1" min="5" max="5"/>
    <col width="16" customWidth="1" min="6" max="6"/>
    <col width="14" customWidth="1" min="7" max="7"/>
    <col width="17" customWidth="1" min="8" max="8"/>
    <col width="16" customWidth="1" min="9" max="9"/>
  </cols>
  <sheetData>
    <row r="1">
      <c r="A1" s="6" t="inlineStr">
        <is>
          <t>INSTRUCTOR COPY - do not distribute</t>
        </is>
      </c>
    </row>
    <row r="3">
      <c r="A3" s="2" t="inlineStr">
        <is>
          <t>Firm</t>
        </is>
      </c>
      <c r="B3" s="2" t="inlineStr"/>
      <c r="C3" s="2" t="inlineStr">
        <is>
          <t>Revenue</t>
        </is>
      </c>
      <c r="D3" s="2" t="inlineStr">
        <is>
          <t>Gross profit</t>
        </is>
      </c>
      <c r="E3" s="2" t="inlineStr">
        <is>
          <t>R&amp;D</t>
        </is>
      </c>
      <c r="F3" s="2" t="inlineStr">
        <is>
          <t>Operating income</t>
        </is>
      </c>
      <c r="G3" s="2" t="inlineStr">
        <is>
          <t>Gross margin %</t>
        </is>
      </c>
      <c r="H3" s="2" t="inlineStr">
        <is>
          <t>Operating margin %</t>
        </is>
      </c>
      <c r="I3" s="2" t="inlineStr">
        <is>
          <t>R&amp;D % of revenue</t>
        </is>
      </c>
    </row>
    <row r="4">
      <c r="A4" t="inlineStr">
        <is>
          <t>Audi</t>
        </is>
      </c>
      <c r="C4" t="n">
        <v>72199.8</v>
      </c>
      <c r="D4" t="n">
        <v>12109.8</v>
      </c>
      <c r="E4" t="n">
        <v>4310.8</v>
      </c>
      <c r="F4" t="n">
        <v>6624.6</v>
      </c>
      <c r="G4" s="7">
        <f>D4/C4</f>
        <v/>
      </c>
      <c r="H4" s="7">
        <f>F4/C4</f>
        <v/>
      </c>
      <c r="I4" s="7">
        <f>E4/C4</f>
        <v/>
      </c>
    </row>
    <row r="5">
      <c r="A5" t="inlineStr">
        <is>
          <t>BMW</t>
        </is>
      </c>
      <c r="C5" t="n">
        <v>118489.4</v>
      </c>
      <c r="D5" t="n">
        <v>22055.7</v>
      </c>
      <c r="E5" t="n">
        <v>4423.6</v>
      </c>
      <c r="F5" t="n">
        <v>11642.7</v>
      </c>
      <c r="G5" s="7">
        <f>D5/C5</f>
        <v/>
      </c>
      <c r="H5" s="7">
        <f>F5/C5</f>
        <v/>
      </c>
      <c r="I5" s="7">
        <f>E5/C5</f>
        <v/>
      </c>
    </row>
    <row r="6">
      <c r="A6" t="inlineStr">
        <is>
          <t>Daimler</t>
        </is>
      </c>
      <c r="C6" t="n">
        <v>197322.3</v>
      </c>
      <c r="D6" t="n">
        <v>39440.4</v>
      </c>
      <c r="E6" t="n">
        <v>7084.5</v>
      </c>
      <c r="F6" t="n">
        <v>15563.2</v>
      </c>
      <c r="G6" s="7">
        <f>D6/C6</f>
        <v/>
      </c>
      <c r="H6" s="7">
        <f>F6/C6</f>
        <v/>
      </c>
      <c r="I6" s="7">
        <f>E6/C6</f>
        <v/>
      </c>
    </row>
    <row r="7">
      <c r="A7" t="inlineStr">
        <is>
          <t>Fiat Chrysler</t>
        </is>
      </c>
      <c r="C7" t="n">
        <v>133028.3</v>
      </c>
      <c r="D7" t="n">
        <v>20359</v>
      </c>
      <c r="E7" t="n">
        <v>3746.4</v>
      </c>
      <c r="F7" t="n">
        <v>8447.4</v>
      </c>
      <c r="G7" s="7">
        <f>D7/C7</f>
        <v/>
      </c>
      <c r="H7" s="7">
        <f>F7/C7</f>
        <v/>
      </c>
      <c r="I7" s="7">
        <f>E7/C7</f>
        <v/>
      </c>
    </row>
    <row r="8">
      <c r="A8" t="inlineStr">
        <is>
          <t>Ford</t>
        </is>
      </c>
      <c r="C8" t="n">
        <v>156776</v>
      </c>
      <c r="D8" t="n">
        <v>16579</v>
      </c>
      <c r="E8" t="n">
        <v>8000</v>
      </c>
      <c r="F8" t="n">
        <v>5052</v>
      </c>
      <c r="G8" s="7">
        <f>D8/C8</f>
        <v/>
      </c>
      <c r="H8" s="7">
        <f>F8/C8</f>
        <v/>
      </c>
      <c r="I8" s="7">
        <f>E8/C8</f>
        <v/>
      </c>
    </row>
    <row r="9">
      <c r="A9" t="inlineStr">
        <is>
          <t>GM</t>
        </is>
      </c>
      <c r="C9" t="n">
        <v>145588</v>
      </c>
      <c r="D9" t="n">
        <v>20164</v>
      </c>
      <c r="E9" t="n">
        <v>7300</v>
      </c>
      <c r="F9" t="n">
        <v>10703</v>
      </c>
      <c r="G9" s="7">
        <f>D9/C9</f>
        <v/>
      </c>
      <c r="H9" s="7">
        <f>F9/C9</f>
        <v/>
      </c>
      <c r="I9" s="7">
        <f>E9/C9</f>
        <v/>
      </c>
    </row>
    <row r="10">
      <c r="A10" t="inlineStr">
        <is>
          <t>Honda</t>
        </is>
      </c>
      <c r="C10" t="n">
        <v>125553.4</v>
      </c>
      <c r="D10" t="n">
        <v>28101.8</v>
      </c>
      <c r="E10" t="n">
        <v>6429.3</v>
      </c>
      <c r="F10" t="n">
        <v>7540</v>
      </c>
      <c r="G10" s="7">
        <f>D10/C10</f>
        <v/>
      </c>
      <c r="H10" s="7">
        <f>F10/C10</f>
        <v/>
      </c>
      <c r="I10" s="7">
        <f>E10/C10</f>
        <v/>
      </c>
    </row>
    <row r="11">
      <c r="A11" t="inlineStr">
        <is>
          <t>Nissan</t>
        </is>
      </c>
      <c r="C11" t="n">
        <v>105112.5</v>
      </c>
      <c r="D11" t="n">
        <v>20605.3</v>
      </c>
      <c r="E11" t="n">
        <v>6240.7</v>
      </c>
      <c r="F11" t="n">
        <v>6656.8</v>
      </c>
      <c r="G11" s="7">
        <f>D11/C11</f>
        <v/>
      </c>
      <c r="H11" s="7">
        <f>F11/C11</f>
        <v/>
      </c>
      <c r="I11" s="7">
        <f>E11/C11</f>
        <v/>
      </c>
    </row>
    <row r="12">
      <c r="A12" s="8" t="inlineStr">
        <is>
          <t>Tesla</t>
        </is>
      </c>
      <c r="B12" s="8" t="n"/>
      <c r="C12" s="8" t="n">
        <v>11758.8</v>
      </c>
      <c r="D12" s="8" t="n">
        <v>2222.5</v>
      </c>
      <c r="E12" s="8" t="n">
        <v>1378.1</v>
      </c>
      <c r="F12" s="8" t="n">
        <v>-1606.3</v>
      </c>
      <c r="G12" s="9">
        <f>D12/C12</f>
        <v/>
      </c>
      <c r="H12" s="9">
        <f>F12/C12</f>
        <v/>
      </c>
      <c r="I12" s="9">
        <f>E12/C12</f>
        <v/>
      </c>
    </row>
    <row r="13">
      <c r="A13" s="5" t="inlineStr">
        <is>
          <t>Median excl. Tesla</t>
        </is>
      </c>
      <c r="G13" s="10">
        <f>MEDIAN(G4:G11)</f>
        <v/>
      </c>
      <c r="H13" s="10">
        <f>MEDIAN(H4:H11)</f>
        <v/>
      </c>
      <c r="I13" s="10">
        <f>MEDIAN(I4:I11)</f>
        <v/>
      </c>
    </row>
    <row r="15">
      <c r="A15" s="5" t="inlineStr">
        <is>
          <t>Tesla R&amp;D intensity as a multiple of the median</t>
        </is>
      </c>
      <c r="F15" s="11">
        <f>I12/I13</f>
        <v/>
      </c>
    </row>
    <row r="16">
      <c r="A16" t="inlineStr">
        <is>
          <t>Gap, Tesla gross margin to operating margin (points)</t>
        </is>
      </c>
      <c r="F16" s="12">
        <f>(G12-H12)*100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</cols>
  <sheetData>
    <row r="1">
      <c r="A1" s="1" t="inlineStr">
        <is>
          <t>US large luxury sedans, unit sales</t>
        </is>
      </c>
    </row>
    <row r="3">
      <c r="A3" s="13" t="inlineStr">
        <is>
          <t>Model</t>
        </is>
      </c>
      <c r="B3" s="13" t="inlineStr">
        <is>
          <t>2014</t>
        </is>
      </c>
      <c r="C3" s="13" t="inlineStr">
        <is>
          <t>2016</t>
        </is>
      </c>
      <c r="D3" s="13" t="inlineStr">
        <is>
          <t>Change %</t>
        </is>
      </c>
      <c r="E3" s="13" t="inlineStr">
        <is>
          <t>Share 2014</t>
        </is>
      </c>
      <c r="F3" s="13" t="inlineStr">
        <is>
          <t>Share 2016</t>
        </is>
      </c>
    </row>
    <row r="4">
      <c r="A4" s="8" t="inlineStr">
        <is>
          <t>Tesla Model S</t>
        </is>
      </c>
      <c r="B4" s="8" t="n">
        <v>16698</v>
      </c>
      <c r="C4" s="8" t="n">
        <v>29421</v>
      </c>
      <c r="D4" s="14">
        <f>C4/B4-1</f>
        <v/>
      </c>
      <c r="E4" s="9">
        <f>B4/B$14</f>
        <v/>
      </c>
      <c r="F4" s="9">
        <f>C4/C$14</f>
        <v/>
      </c>
    </row>
    <row r="5">
      <c r="A5" t="inlineStr">
        <is>
          <t>Mercedes-Benz S-Class</t>
        </is>
      </c>
      <c r="B5" t="n">
        <v>24524</v>
      </c>
      <c r="C5" t="n">
        <v>18803</v>
      </c>
      <c r="D5" s="15">
        <f>C5/B5-1</f>
        <v/>
      </c>
      <c r="E5" s="7">
        <f>B5/B$14</f>
        <v/>
      </c>
      <c r="F5" s="7">
        <f>C5/C$14</f>
        <v/>
      </c>
    </row>
    <row r="6">
      <c r="A6" t="inlineStr">
        <is>
          <t>BMW 7-Series</t>
        </is>
      </c>
      <c r="B6" t="n">
        <v>9744</v>
      </c>
      <c r="C6" t="n">
        <v>12918</v>
      </c>
      <c r="D6" s="15">
        <f>C6/B6-1</f>
        <v/>
      </c>
      <c r="E6" s="7">
        <f>B6/B$14</f>
        <v/>
      </c>
      <c r="F6" s="7">
        <f>C6/C$14</f>
        <v/>
      </c>
    </row>
    <row r="7">
      <c r="A7" t="inlineStr">
        <is>
          <t>Lexus LS</t>
        </is>
      </c>
      <c r="B7" t="n">
        <v>8559</v>
      </c>
      <c r="C7" t="n">
        <v>5514</v>
      </c>
      <c r="D7" s="15">
        <f>C7/B7-1</f>
        <v/>
      </c>
      <c r="E7" s="7">
        <f>B7/B$14</f>
        <v/>
      </c>
      <c r="F7" s="7">
        <f>C7/C$14</f>
        <v/>
      </c>
    </row>
    <row r="8">
      <c r="A8" t="inlineStr">
        <is>
          <t>Audi A7</t>
        </is>
      </c>
      <c r="B8" t="n">
        <v>8133</v>
      </c>
      <c r="C8" t="n">
        <v>6558</v>
      </c>
      <c r="D8" s="15">
        <f>C8/B8-1</f>
        <v/>
      </c>
      <c r="E8" s="7">
        <f>B8/B$14</f>
        <v/>
      </c>
      <c r="F8" s="7">
        <f>C8/C$14</f>
        <v/>
      </c>
    </row>
    <row r="9">
      <c r="A9" t="inlineStr">
        <is>
          <t>BMW 6-Series</t>
        </is>
      </c>
      <c r="B9" t="n">
        <v>8647</v>
      </c>
      <c r="C9" t="n">
        <v>3950</v>
      </c>
      <c r="D9" s="15">
        <f>C9/B9-1</f>
        <v/>
      </c>
      <c r="E9" s="7">
        <f>B9/B$14</f>
        <v/>
      </c>
      <c r="F9" s="7">
        <f>C9/C$14</f>
        <v/>
      </c>
    </row>
    <row r="10">
      <c r="A10" t="inlineStr">
        <is>
          <t>Mercedes-Benz CLS-Class</t>
        </is>
      </c>
      <c r="B10" t="n">
        <v>7595</v>
      </c>
      <c r="C10" t="n">
        <v>2571</v>
      </c>
      <c r="D10" s="15">
        <f>C10/B10-1</f>
        <v/>
      </c>
      <c r="E10" s="7">
        <f>B10/B$14</f>
        <v/>
      </c>
      <c r="F10" s="7">
        <f>C10/C$14</f>
        <v/>
      </c>
    </row>
    <row r="11">
      <c r="A11" t="inlineStr">
        <is>
          <t>Audi A8</t>
        </is>
      </c>
      <c r="B11" t="n">
        <v>5904</v>
      </c>
      <c r="C11" t="n">
        <v>4149</v>
      </c>
      <c r="D11" s="15">
        <f>C11/B11-1</f>
        <v/>
      </c>
      <c r="E11" s="7">
        <f>B11/B$14</f>
        <v/>
      </c>
      <c r="F11" s="7">
        <f>C11/C$14</f>
        <v/>
      </c>
    </row>
    <row r="12">
      <c r="A12" t="inlineStr">
        <is>
          <t>Porsche Panamera</t>
        </is>
      </c>
      <c r="B12" t="n">
        <v>5740</v>
      </c>
      <c r="C12" t="n">
        <v>4403</v>
      </c>
      <c r="D12" s="15">
        <f>C12/B12-1</f>
        <v/>
      </c>
      <c r="E12" s="7">
        <f>B12/B$14</f>
        <v/>
      </c>
      <c r="F12" s="7">
        <f>C12/C$14</f>
        <v/>
      </c>
    </row>
    <row r="13">
      <c r="A13" t="inlineStr">
        <is>
          <t>Jaguar XJ</t>
        </is>
      </c>
      <c r="B13" t="n">
        <v>4329</v>
      </c>
      <c r="C13" t="n">
        <v>3834</v>
      </c>
      <c r="D13" s="15">
        <f>C13/B13-1</f>
        <v/>
      </c>
      <c r="E13" s="7">
        <f>B13/B$14</f>
        <v/>
      </c>
      <c r="F13" s="7">
        <f>C13/C$14</f>
        <v/>
      </c>
    </row>
    <row r="14">
      <c r="A14" s="5" t="inlineStr">
        <is>
          <t>Segment total</t>
        </is>
      </c>
      <c r="B14" s="5">
        <f>SUM(B4:B13)</f>
        <v/>
      </c>
      <c r="C14" s="5">
        <f>SUM(C4:C13)</f>
        <v/>
      </c>
      <c r="D14" s="15">
        <f>C14/B14-1</f>
        <v/>
      </c>
    </row>
    <row r="16">
      <c r="A16" t="inlineStr">
        <is>
          <t>All rivals excl. Model S</t>
        </is>
      </c>
      <c r="B16">
        <f>B14-B4</f>
        <v/>
      </c>
      <c r="C16">
        <f>C14-C4</f>
        <v/>
      </c>
      <c r="D16" s="15">
        <f>C16/B16-1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2026-09-18T05:31:34Z</dcterms:created>
  <dcterms:modified xmlns:dcterms="http://purl.org/dc/terms/" xmlns:xsi="http://www.w3.org/2001/XMLSchema-instance" xsi:type="dcterms:W3CDTF">2026-09-18T05:31:34Z</dcterms:modified>
</cp:coreProperties>
</file>